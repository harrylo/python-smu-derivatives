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827" codeName="{37B6ACAC-4A07-160E-37E0-EFA003358AD4}"/>
  <workbookPr filterPrivacy="1" codeName="ThisWorkbook"/>
  <bookViews>
    <workbookView xWindow="0" yWindow="0" windowWidth="22260" windowHeight="12650" activeTab="4"/>
  </bookViews>
  <sheets>
    <sheet name="Sheet1" sheetId="1" r:id="rId1"/>
    <sheet name="Price" sheetId="7" r:id="rId2"/>
    <sheet name="Delta" sheetId="2" r:id="rId3"/>
    <sheet name="Gamma" sheetId="3" r:id="rId4"/>
    <sheet name="Vega" sheetId="4" r:id="rId5"/>
    <sheet name="Rho" sheetId="6" r:id="rId6"/>
    <sheet name="Theta" sheetId="5" r:id="rId7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2" l="1"/>
  <c r="G5" i="6" l="1"/>
  <c r="J16" i="6"/>
  <c r="G4" i="6"/>
  <c r="H13" i="6"/>
  <c r="L16" i="6"/>
  <c r="H4" i="6"/>
  <c r="K15" i="6"/>
  <c r="I17" i="6"/>
  <c r="I12" i="6"/>
  <c r="I11" i="6"/>
  <c r="H8" i="6"/>
  <c r="F5" i="6"/>
  <c r="G14" i="6"/>
  <c r="K17" i="6"/>
  <c r="J3" i="6"/>
  <c r="I7" i="5"/>
  <c r="H5" i="5"/>
  <c r="L8" i="5"/>
  <c r="F18" i="5"/>
  <c r="K14" i="5"/>
  <c r="J4" i="5"/>
  <c r="K13" i="5"/>
  <c r="F15" i="5"/>
  <c r="I10" i="5"/>
  <c r="F6" i="5"/>
  <c r="G15" i="5"/>
  <c r="K8" i="5"/>
  <c r="L11" i="5"/>
  <c r="H6" i="5"/>
  <c r="L3" i="5"/>
  <c r="J7" i="4"/>
  <c r="K16" i="4"/>
  <c r="I5" i="4"/>
  <c r="J14" i="4"/>
  <c r="K14" i="4"/>
  <c r="L7" i="4"/>
  <c r="L6" i="4"/>
  <c r="F16" i="4"/>
  <c r="F12" i="4"/>
  <c r="J11" i="4"/>
  <c r="L4" i="4"/>
  <c r="G6" i="4"/>
  <c r="H15" i="4"/>
  <c r="I7" i="4"/>
  <c r="L3" i="4"/>
  <c r="J7" i="1"/>
  <c r="J19" i="1"/>
  <c r="I12" i="1"/>
  <c r="I18" i="1"/>
  <c r="H10" i="1"/>
  <c r="H19" i="1"/>
  <c r="G16" i="1"/>
  <c r="G11" i="1"/>
  <c r="F18" i="1"/>
  <c r="H6" i="6"/>
  <c r="L18" i="6"/>
  <c r="H5" i="6"/>
  <c r="I14" i="6"/>
  <c r="G19" i="6"/>
  <c r="I5" i="6"/>
  <c r="F18" i="6"/>
  <c r="I4" i="6"/>
  <c r="J13" i="6"/>
  <c r="J12" i="6"/>
  <c r="F14" i="6"/>
  <c r="G6" i="6"/>
  <c r="H15" i="6"/>
  <c r="F16" i="6"/>
  <c r="K3" i="6"/>
  <c r="J8" i="5"/>
  <c r="L9" i="5"/>
  <c r="F10" i="5"/>
  <c r="G19" i="5"/>
  <c r="F17" i="5"/>
  <c r="K5" i="5"/>
  <c r="L14" i="5"/>
  <c r="H17" i="5"/>
  <c r="J11" i="5"/>
  <c r="G7" i="5"/>
  <c r="H16" i="5"/>
  <c r="J15" i="5"/>
  <c r="F13" i="5"/>
  <c r="F12" i="5"/>
  <c r="K3" i="5"/>
  <c r="K8" i="4"/>
  <c r="L17" i="4"/>
  <c r="J6" i="4"/>
  <c r="K15" i="4"/>
  <c r="F17" i="4"/>
  <c r="F9" i="4"/>
  <c r="F8" i="4"/>
  <c r="G17" i="4"/>
  <c r="K17" i="4"/>
  <c r="K12" i="4"/>
  <c r="G7" i="4"/>
  <c r="H7" i="4"/>
  <c r="I16" i="4"/>
  <c r="J8" i="4"/>
  <c r="G3" i="4"/>
  <c r="J15" i="1"/>
  <c r="J4" i="1"/>
  <c r="I7" i="1"/>
  <c r="I11" i="1"/>
  <c r="H6" i="1"/>
  <c r="H4" i="1"/>
  <c r="G12" i="1"/>
  <c r="G9" i="1"/>
  <c r="F6" i="1"/>
  <c r="F19" i="1"/>
  <c r="I7" i="6"/>
  <c r="I19" i="6"/>
  <c r="I6" i="6"/>
  <c r="J15" i="6"/>
  <c r="H18" i="6"/>
  <c r="J6" i="6"/>
  <c r="G17" i="6"/>
  <c r="J5" i="6"/>
  <c r="K14" i="6"/>
  <c r="K13" i="6"/>
  <c r="K19" i="6"/>
  <c r="H7" i="6"/>
  <c r="I16" i="6"/>
  <c r="G8" i="6"/>
  <c r="L3" i="6"/>
  <c r="L10" i="5"/>
  <c r="F11" i="5"/>
  <c r="G11" i="5"/>
  <c r="J5" i="5"/>
  <c r="H19" i="5"/>
  <c r="L6" i="5"/>
  <c r="F16" i="5"/>
  <c r="J19" i="5"/>
  <c r="L13" i="5"/>
  <c r="H8" i="5"/>
  <c r="I17" i="5"/>
  <c r="F5" i="5"/>
  <c r="G14" i="5"/>
  <c r="I15" i="5"/>
  <c r="G3" i="5"/>
  <c r="L9" i="4"/>
  <c r="F19" i="4"/>
  <c r="K7" i="4"/>
  <c r="L16" i="4"/>
  <c r="F14" i="4"/>
  <c r="G10" i="4"/>
  <c r="G9" i="4"/>
  <c r="H18" i="4"/>
  <c r="K4" i="4"/>
  <c r="L13" i="4"/>
  <c r="H8" i="4"/>
  <c r="I8" i="4"/>
  <c r="J17" i="4"/>
  <c r="K9" i="4"/>
  <c r="H3" i="4"/>
  <c r="J5" i="1"/>
  <c r="J9" i="1"/>
  <c r="J3" i="1"/>
  <c r="I15" i="1"/>
  <c r="I4" i="1"/>
  <c r="H14" i="1"/>
  <c r="H12" i="1"/>
  <c r="G6" i="1"/>
  <c r="G17" i="1"/>
  <c r="F8" i="1"/>
  <c r="F4" i="1"/>
  <c r="J8" i="6"/>
  <c r="L5" i="6"/>
  <c r="J7" i="6"/>
  <c r="K16" i="6"/>
  <c r="F7" i="6"/>
  <c r="K7" i="6"/>
  <c r="H9" i="6"/>
  <c r="K6" i="6"/>
  <c r="L15" i="6"/>
  <c r="L14" i="6"/>
  <c r="J4" i="6"/>
  <c r="I8" i="6"/>
  <c r="J17" i="6"/>
  <c r="K12" i="6"/>
  <c r="G3" i="6"/>
  <c r="G13" i="5"/>
  <c r="K16" i="5"/>
  <c r="H12" i="5"/>
  <c r="K6" i="5"/>
  <c r="I4" i="5"/>
  <c r="F8" i="5"/>
  <c r="G17" i="5"/>
  <c r="I14" i="5"/>
  <c r="G16" i="5"/>
  <c r="I9" i="5"/>
  <c r="J18" i="5"/>
  <c r="G6" i="5"/>
  <c r="H15" i="5"/>
  <c r="L18" i="5"/>
  <c r="H3" i="5"/>
  <c r="F11" i="4"/>
  <c r="G18" i="4"/>
  <c r="L8" i="4"/>
  <c r="F18" i="4"/>
  <c r="K19" i="4"/>
  <c r="L15" i="4"/>
  <c r="H10" i="4"/>
  <c r="I19" i="4"/>
  <c r="L5" i="4"/>
  <c r="F15" i="4"/>
  <c r="J10" i="4"/>
  <c r="J9" i="4"/>
  <c r="K18" i="4"/>
  <c r="I15" i="4"/>
  <c r="F3" i="4"/>
  <c r="J13" i="1"/>
  <c r="J17" i="1"/>
  <c r="I5" i="1"/>
  <c r="I8" i="1"/>
  <c r="I3" i="1"/>
  <c r="H16" i="1"/>
  <c r="H17" i="1"/>
  <c r="G14" i="1"/>
  <c r="G10" i="1"/>
  <c r="F16" i="1"/>
  <c r="F12" i="1"/>
  <c r="G16" i="6"/>
  <c r="K8" i="6"/>
  <c r="L17" i="6"/>
  <c r="F15" i="6"/>
  <c r="L8" i="6"/>
  <c r="J11" i="6"/>
  <c r="L7" i="6"/>
  <c r="F17" i="6"/>
  <c r="K4" i="6"/>
  <c r="K5" i="6"/>
  <c r="J9" i="6"/>
  <c r="K18" i="6"/>
  <c r="J19" i="6"/>
  <c r="H3" i="6"/>
  <c r="J16" i="5"/>
  <c r="H4" i="5"/>
  <c r="I13" i="5"/>
  <c r="L7" i="5"/>
  <c r="G9" i="5"/>
  <c r="K4" i="5"/>
  <c r="I18" i="5"/>
  <c r="J10" i="5"/>
  <c r="K19" i="5"/>
  <c r="H7" i="5"/>
  <c r="I16" i="5"/>
  <c r="J7" i="5"/>
  <c r="F3" i="5"/>
  <c r="K9" i="6"/>
  <c r="L10" i="6"/>
  <c r="F6" i="6"/>
  <c r="L9" i="6"/>
  <c r="F19" i="6"/>
  <c r="L4" i="6"/>
  <c r="F10" i="6"/>
  <c r="H17" i="6"/>
  <c r="F9" i="6"/>
  <c r="G18" i="6"/>
  <c r="I10" i="6"/>
  <c r="L6" i="6"/>
  <c r="K10" i="6"/>
  <c r="L19" i="6"/>
  <c r="I9" i="6"/>
  <c r="F3" i="6"/>
  <c r="I6" i="5"/>
  <c r="I5" i="5"/>
  <c r="J14" i="5"/>
  <c r="F9" i="5"/>
  <c r="J13" i="5"/>
  <c r="H10" i="5"/>
  <c r="I19" i="5"/>
  <c r="L5" i="5"/>
  <c r="G12" i="5"/>
  <c r="K11" i="5"/>
  <c r="K9" i="5"/>
  <c r="I8" i="5"/>
  <c r="J17" i="5"/>
  <c r="L17" i="5"/>
  <c r="G4" i="4"/>
  <c r="H13" i="4"/>
  <c r="H16" i="4"/>
  <c r="G11" i="4"/>
  <c r="H11" i="4"/>
  <c r="I4" i="4"/>
  <c r="G13" i="4"/>
  <c r="J12" i="4"/>
  <c r="I9" i="4"/>
  <c r="G8" i="4"/>
  <c r="H17" i="4"/>
  <c r="J18" i="4"/>
  <c r="L11" i="4"/>
  <c r="F4" i="4"/>
  <c r="I3" i="4"/>
  <c r="F4" i="6"/>
  <c r="I15" i="6"/>
  <c r="H16" i="6"/>
  <c r="G12" i="6"/>
  <c r="J14" i="6"/>
  <c r="J18" i="6"/>
  <c r="I13" i="6"/>
  <c r="K11" i="6"/>
  <c r="H11" i="6"/>
  <c r="H10" i="6"/>
  <c r="I18" i="6"/>
  <c r="G9" i="6"/>
  <c r="F13" i="6"/>
  <c r="H14" i="6"/>
  <c r="I3" i="6"/>
  <c r="G5" i="5"/>
  <c r="G4" i="5"/>
  <c r="K7" i="5"/>
  <c r="L16" i="5"/>
  <c r="I12" i="5"/>
  <c r="G18" i="5"/>
  <c r="J12" i="5"/>
  <c r="K12" i="5"/>
  <c r="G8" i="5"/>
  <c r="L4" i="5"/>
  <c r="F14" i="5"/>
  <c r="K17" i="5"/>
  <c r="K10" i="5"/>
  <c r="L19" i="5"/>
  <c r="J3" i="5"/>
  <c r="I6" i="4"/>
  <c r="J15" i="4"/>
  <c r="H4" i="4"/>
  <c r="I13" i="4"/>
  <c r="J13" i="4"/>
  <c r="K6" i="4"/>
  <c r="K5" i="4"/>
  <c r="L14" i="4"/>
  <c r="G15" i="4"/>
  <c r="I10" i="4"/>
  <c r="J19" i="4"/>
  <c r="F5" i="4"/>
  <c r="G14" i="4"/>
  <c r="H6" i="4"/>
  <c r="J3" i="4"/>
  <c r="F11" i="6"/>
  <c r="F8" i="6"/>
  <c r="G10" i="5"/>
  <c r="L12" i="5"/>
  <c r="H19" i="4"/>
  <c r="I17" i="4"/>
  <c r="G16" i="4"/>
  <c r="L18" i="4"/>
  <c r="J14" i="1"/>
  <c r="I13" i="1"/>
  <c r="H5" i="1"/>
  <c r="H3" i="1"/>
  <c r="G18" i="1"/>
  <c r="F11" i="1"/>
  <c r="F13" i="1"/>
  <c r="H8" i="1"/>
  <c r="G11" i="6"/>
  <c r="L11" i="6"/>
  <c r="H11" i="5"/>
  <c r="H14" i="5"/>
  <c r="L10" i="4"/>
  <c r="J4" i="4"/>
  <c r="I18" i="4"/>
  <c r="K3" i="4"/>
  <c r="J16" i="1"/>
  <c r="I6" i="1"/>
  <c r="H13" i="1"/>
  <c r="G4" i="1"/>
  <c r="G3" i="1"/>
  <c r="F5" i="1"/>
  <c r="F7" i="1"/>
  <c r="F3" i="1"/>
  <c r="H9" i="5"/>
  <c r="I12" i="4"/>
  <c r="F17" i="1"/>
  <c r="H11" i="1"/>
  <c r="L12" i="6"/>
  <c r="F12" i="6"/>
  <c r="L15" i="5"/>
  <c r="J9" i="5"/>
  <c r="F10" i="4"/>
  <c r="I11" i="4"/>
  <c r="L12" i="4"/>
  <c r="J6" i="1"/>
  <c r="I14" i="1"/>
  <c r="H7" i="1"/>
  <c r="G5" i="1"/>
  <c r="C9" i="1"/>
  <c r="H13" i="5"/>
  <c r="H5" i="4"/>
  <c r="I9" i="1"/>
  <c r="J11" i="1"/>
  <c r="H12" i="6"/>
  <c r="G15" i="6"/>
  <c r="I11" i="5"/>
  <c r="K18" i="5"/>
  <c r="H12" i="4"/>
  <c r="K13" i="4"/>
  <c r="J16" i="4"/>
  <c r="J8" i="1"/>
  <c r="I16" i="1"/>
  <c r="H15" i="1"/>
  <c r="G13" i="1"/>
  <c r="F15" i="1"/>
  <c r="G10" i="6"/>
  <c r="F13" i="4"/>
  <c r="G7" i="6"/>
  <c r="F4" i="5"/>
  <c r="H18" i="5"/>
  <c r="I3" i="5"/>
  <c r="G19" i="4"/>
  <c r="F6" i="4"/>
  <c r="K10" i="4"/>
  <c r="J10" i="1"/>
  <c r="I19" i="1"/>
  <c r="H18" i="1"/>
  <c r="G8" i="1"/>
  <c r="F9" i="1"/>
  <c r="K11" i="4"/>
  <c r="J18" i="1"/>
  <c r="G5" i="4"/>
  <c r="I10" i="1"/>
  <c r="G19" i="1"/>
  <c r="F14" i="1"/>
  <c r="G13" i="6"/>
  <c r="H19" i="6"/>
  <c r="J6" i="5"/>
  <c r="F7" i="5"/>
  <c r="G12" i="4"/>
  <c r="H14" i="4"/>
  <c r="F7" i="4"/>
  <c r="L19" i="4"/>
  <c r="J12" i="1"/>
  <c r="I17" i="1"/>
  <c r="H9" i="1"/>
  <c r="G7" i="1"/>
  <c r="F10" i="1"/>
  <c r="J10" i="6"/>
  <c r="L13" i="6"/>
  <c r="K15" i="5"/>
  <c r="F19" i="5"/>
  <c r="I14" i="4"/>
  <c r="J5" i="4"/>
  <c r="H9" i="4"/>
  <c r="G15" i="1"/>
  <c r="I4" i="3"/>
  <c r="K17" i="3"/>
  <c r="H6" i="3"/>
  <c r="J7" i="3"/>
  <c r="F9" i="3"/>
  <c r="G15" i="3"/>
  <c r="H5" i="3"/>
  <c r="H16" i="3"/>
  <c r="K8" i="3"/>
  <c r="F7" i="3"/>
  <c r="F13" i="3"/>
  <c r="K7" i="3"/>
  <c r="F18" i="3"/>
  <c r="J3" i="3"/>
  <c r="F4" i="3"/>
  <c r="I19" i="3"/>
  <c r="J15" i="3"/>
  <c r="L12" i="3"/>
  <c r="I6" i="3"/>
  <c r="I9" i="3"/>
  <c r="L18" i="3"/>
  <c r="G9" i="3"/>
  <c r="I15" i="3"/>
  <c r="K12" i="3"/>
  <c r="G4" i="3"/>
  <c r="G7" i="3"/>
  <c r="G11" i="3"/>
  <c r="K10" i="3"/>
  <c r="F19" i="3"/>
  <c r="F5" i="3"/>
  <c r="H12" i="3"/>
  <c r="K6" i="3"/>
  <c r="J4" i="3"/>
  <c r="I5" i="3"/>
  <c r="K15" i="3"/>
  <c r="H11" i="3"/>
  <c r="L7" i="3"/>
  <c r="I14" i="3"/>
  <c r="J10" i="3"/>
  <c r="F10" i="3"/>
  <c r="I8" i="3"/>
  <c r="H19" i="3"/>
  <c r="H4" i="3"/>
  <c r="F14" i="3"/>
  <c r="H3" i="3"/>
  <c r="F17" i="3"/>
  <c r="G16" i="3"/>
  <c r="H13" i="3"/>
  <c r="K13" i="3"/>
  <c r="L4" i="3"/>
  <c r="G18" i="3"/>
  <c r="H18" i="3"/>
  <c r="L19" i="3"/>
  <c r="F12" i="3"/>
  <c r="K3" i="3"/>
  <c r="I11" i="3"/>
  <c r="I17" i="3"/>
  <c r="J17" i="3"/>
  <c r="J16" i="3"/>
  <c r="K16" i="3"/>
  <c r="I3" i="3"/>
  <c r="F8" i="3"/>
  <c r="F3" i="3"/>
  <c r="G14" i="3"/>
  <c r="G3" i="3"/>
  <c r="J14" i="3"/>
  <c r="I10" i="3"/>
  <c r="L10" i="3"/>
  <c r="J6" i="3"/>
  <c r="I13" i="3"/>
  <c r="H10" i="3"/>
  <c r="L13" i="3"/>
  <c r="J18" i="3"/>
  <c r="J13" i="3"/>
  <c r="H17" i="3"/>
  <c r="G13" i="3"/>
  <c r="J11" i="3"/>
  <c r="L8" i="3"/>
  <c r="G6" i="3"/>
  <c r="F16" i="3"/>
  <c r="H8" i="3"/>
  <c r="I12" i="3"/>
  <c r="K5" i="3"/>
  <c r="F11" i="3"/>
  <c r="J19" i="3"/>
  <c r="L9" i="3"/>
  <c r="H15" i="3"/>
  <c r="J5" i="3"/>
  <c r="G12" i="3"/>
  <c r="F6" i="3"/>
  <c r="G19" i="3"/>
  <c r="L3" i="3"/>
  <c r="H9" i="3"/>
  <c r="G10" i="3"/>
  <c r="I7" i="3"/>
  <c r="K4" i="3"/>
  <c r="H14" i="3"/>
  <c r="L14" i="3"/>
  <c r="L11" i="3"/>
  <c r="L6" i="3"/>
  <c r="L17" i="3"/>
  <c r="J9" i="3"/>
  <c r="L15" i="3"/>
  <c r="H7" i="3"/>
  <c r="J8" i="3"/>
  <c r="G8" i="3"/>
  <c r="G17" i="3"/>
  <c r="I16" i="3"/>
  <c r="J12" i="3"/>
  <c r="G5" i="3"/>
  <c r="K18" i="3"/>
  <c r="F15" i="3"/>
  <c r="K14" i="3"/>
  <c r="I18" i="3"/>
  <c r="K19" i="3"/>
  <c r="K9" i="3"/>
  <c r="L16" i="3"/>
  <c r="L5" i="3"/>
  <c r="K11" i="3"/>
  <c r="L5" i="2"/>
  <c r="I19" i="2"/>
  <c r="F15" i="2"/>
  <c r="I18" i="2"/>
  <c r="J7" i="2"/>
  <c r="L10" i="2"/>
  <c r="K9" i="2"/>
  <c r="I7" i="2"/>
  <c r="J3" i="2"/>
  <c r="G12" i="2"/>
  <c r="F14" i="2"/>
  <c r="I3" i="2"/>
  <c r="J15" i="2"/>
  <c r="I16" i="2"/>
  <c r="F9" i="2"/>
  <c r="H11" i="2"/>
  <c r="L9" i="2"/>
  <c r="F17" i="2"/>
  <c r="K6" i="2"/>
  <c r="H9" i="2"/>
  <c r="F6" i="2"/>
  <c r="F8" i="2"/>
  <c r="G5" i="2"/>
  <c r="K19" i="2"/>
  <c r="I5" i="2"/>
  <c r="K5" i="2"/>
  <c r="L11" i="2"/>
  <c r="H16" i="2"/>
  <c r="K14" i="2"/>
  <c r="H17" i="2"/>
  <c r="H3" i="2"/>
  <c r="I17" i="2"/>
  <c r="G13" i="2"/>
  <c r="J9" i="2"/>
  <c r="I4" i="2"/>
  <c r="L13" i="2"/>
  <c r="J16" i="2"/>
  <c r="L19" i="2"/>
  <c r="H19" i="2"/>
  <c r="K8" i="2"/>
  <c r="J6" i="2"/>
  <c r="G14" i="2"/>
  <c r="K17" i="2"/>
  <c r="H14" i="2"/>
  <c r="L3" i="2"/>
  <c r="H7" i="2"/>
  <c r="I15" i="2"/>
  <c r="J13" i="2"/>
  <c r="G10" i="2"/>
  <c r="K16" i="2"/>
  <c r="I10" i="2"/>
  <c r="L4" i="2"/>
  <c r="G6" i="2"/>
  <c r="F11" i="2"/>
  <c r="F18" i="2"/>
  <c r="F12" i="2"/>
  <c r="I8" i="2"/>
  <c r="L6" i="2"/>
  <c r="G17" i="2"/>
  <c r="J11" i="2"/>
  <c r="I9" i="2"/>
  <c r="H18" i="2"/>
  <c r="H10" i="2"/>
  <c r="I12" i="2"/>
  <c r="G3" i="2"/>
  <c r="H6" i="2"/>
  <c r="L12" i="2"/>
  <c r="H13" i="2"/>
  <c r="J17" i="2"/>
  <c r="F4" i="2"/>
  <c r="F10" i="2"/>
  <c r="F3" i="2"/>
  <c r="J5" i="2"/>
  <c r="G8" i="2"/>
  <c r="J12" i="2"/>
  <c r="G19" i="2"/>
  <c r="L8" i="2"/>
  <c r="F5" i="2"/>
  <c r="J19" i="2"/>
  <c r="G18" i="2"/>
  <c r="J4" i="2"/>
  <c r="G7" i="2"/>
  <c r="L7" i="2"/>
  <c r="L17" i="2"/>
  <c r="J14" i="2"/>
  <c r="K3" i="2"/>
  <c r="I6" i="2"/>
  <c r="G9" i="2"/>
  <c r="K10" i="2"/>
  <c r="G4" i="2"/>
  <c r="K18" i="2"/>
  <c r="K12" i="2"/>
  <c r="K11" i="2"/>
  <c r="F19" i="2"/>
  <c r="J10" i="2"/>
  <c r="L15" i="2"/>
  <c r="H5" i="2"/>
  <c r="H15" i="2"/>
  <c r="K15" i="2"/>
  <c r="K13" i="2"/>
  <c r="G16" i="2"/>
  <c r="I11" i="2"/>
  <c r="L16" i="2"/>
  <c r="H8" i="2"/>
  <c r="J18" i="2"/>
  <c r="G11" i="2"/>
  <c r="L18" i="2"/>
  <c r="K4" i="2"/>
  <c r="H12" i="2"/>
  <c r="G15" i="2"/>
  <c r="K7" i="2"/>
  <c r="F7" i="2"/>
  <c r="I13" i="2"/>
  <c r="I14" i="2"/>
  <c r="H4" i="2"/>
  <c r="F16" i="2"/>
  <c r="J8" i="2"/>
  <c r="L14" i="2"/>
  <c r="G5" i="7"/>
  <c r="J7" i="7"/>
  <c r="I19" i="7"/>
  <c r="L15" i="7"/>
  <c r="L3" i="7"/>
  <c r="F19" i="7"/>
  <c r="H9" i="7"/>
  <c r="G18" i="7"/>
  <c r="K3" i="7"/>
  <c r="K5" i="7"/>
  <c r="L6" i="7"/>
  <c r="F6" i="7"/>
  <c r="H8" i="7"/>
  <c r="K15" i="7"/>
  <c r="I15" i="7"/>
  <c r="K16" i="7"/>
  <c r="F7" i="7"/>
  <c r="F14" i="7"/>
  <c r="G11" i="7"/>
  <c r="F5" i="7"/>
  <c r="J4" i="7"/>
  <c r="K17" i="7"/>
  <c r="L14" i="7"/>
  <c r="G4" i="7"/>
  <c r="F16" i="7"/>
  <c r="H5" i="7"/>
  <c r="G9" i="7"/>
  <c r="J9" i="7"/>
  <c r="H18" i="7"/>
  <c r="F3" i="7"/>
  <c r="L8" i="7"/>
  <c r="G15" i="7"/>
  <c r="K9" i="7"/>
  <c r="I11" i="7"/>
  <c r="J11" i="7"/>
  <c r="G14" i="7"/>
  <c r="H14" i="7"/>
  <c r="K13" i="7"/>
  <c r="G12" i="7"/>
  <c r="L12" i="7"/>
  <c r="H13" i="7"/>
  <c r="I17" i="7"/>
  <c r="I6" i="7"/>
  <c r="I14" i="7"/>
  <c r="I12" i="7"/>
  <c r="F18" i="7"/>
  <c r="L11" i="7"/>
  <c r="K8" i="7"/>
  <c r="K12" i="7"/>
  <c r="L7" i="7"/>
  <c r="I7" i="7"/>
  <c r="F11" i="7"/>
  <c r="G7" i="7"/>
  <c r="H4" i="7"/>
  <c r="L13" i="7"/>
  <c r="I5" i="7"/>
  <c r="H17" i="7"/>
  <c r="J15" i="7"/>
  <c r="L5" i="7"/>
  <c r="K4" i="7"/>
  <c r="L9" i="7"/>
  <c r="F15" i="7"/>
  <c r="L18" i="7"/>
  <c r="J6" i="7"/>
  <c r="J5" i="7"/>
  <c r="F4" i="7"/>
  <c r="L17" i="7"/>
  <c r="G8" i="7"/>
  <c r="F17" i="7"/>
  <c r="J3" i="7"/>
  <c r="J16" i="7"/>
  <c r="I10" i="7"/>
  <c r="I13" i="7"/>
  <c r="H7" i="7"/>
  <c r="J14" i="7"/>
  <c r="I8" i="7"/>
  <c r="K7" i="7"/>
  <c r="K11" i="7"/>
  <c r="G17" i="7"/>
  <c r="K6" i="7"/>
  <c r="J8" i="7"/>
  <c r="G3" i="7"/>
  <c r="K14" i="7"/>
  <c r="I3" i="7"/>
  <c r="F10" i="7"/>
  <c r="K19" i="7"/>
  <c r="J18" i="7"/>
  <c r="H12" i="7"/>
  <c r="G6" i="7"/>
  <c r="L4" i="7"/>
  <c r="I16" i="7"/>
  <c r="J10" i="7"/>
  <c r="J17" i="7"/>
  <c r="L16" i="7"/>
  <c r="K10" i="7"/>
  <c r="H16" i="7"/>
  <c r="J19" i="7"/>
  <c r="H10" i="7"/>
  <c r="H3" i="7"/>
  <c r="J13" i="7"/>
  <c r="I9" i="7"/>
  <c r="G19" i="7"/>
  <c r="F13" i="7"/>
  <c r="F12" i="7"/>
  <c r="J12" i="7"/>
  <c r="G16" i="7"/>
  <c r="H15" i="7"/>
  <c r="G10" i="7"/>
  <c r="L10" i="7"/>
  <c r="H11" i="7"/>
  <c r="G13" i="7"/>
  <c r="I4" i="7"/>
  <c r="L19" i="7"/>
  <c r="K18" i="7"/>
  <c r="F8" i="7"/>
  <c r="H6" i="7"/>
  <c r="I18" i="7"/>
  <c r="F9" i="7"/>
  <c r="H19" i="7"/>
</calcChain>
</file>

<file path=xl/sharedStrings.xml><?xml version="1.0" encoding="utf-8"?>
<sst xmlns="http://schemas.openxmlformats.org/spreadsheetml/2006/main" count="49" uniqueCount="14">
  <si>
    <t>S(0)</t>
  </si>
  <si>
    <t>K</t>
  </si>
  <si>
    <t>r</t>
  </si>
  <si>
    <t>q</t>
  </si>
  <si>
    <t>vol</t>
  </si>
  <si>
    <t>T</t>
  </si>
  <si>
    <t>Call</t>
  </si>
  <si>
    <t>Price</t>
  </si>
  <si>
    <t>Delta</t>
  </si>
  <si>
    <t>Gamma</t>
  </si>
  <si>
    <t>Vega</t>
  </si>
  <si>
    <t>Rho</t>
  </si>
  <si>
    <t>epsilon</t>
  </si>
  <si>
    <t>S(0)/T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</si>
</sst>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"/>
    <numFmt numFmtId="166" formatCode="0.0"/>
    <numFmt numFmtId="167" formatCode="0.0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BS Price, r=q=0, vol=0.2, K=100, T=1</a:t>
            </a:r>
          </a:p>
        </c:rich>
      </c:tx>
      <c:layout>
        <c:manualLayout>
          <c:xMode val="edge"/>
          <c:yMode val="edge"/>
          <c:x val="0.23993335174094774"/>
          <c:y val="2.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Price!$F$2</c:f>
              <c:strCache>
                <c:ptCount val="1"/>
                <c:pt idx="0">
                  <c:v>0.1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Price!$E$3:$E$19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Price!$F$3:$F$19</c:f>
              <c:numCache>
                <c:formatCode>0.0</c:formatCode>
                <c:ptCount val="17"/>
                <c:pt idx="0">
                  <c:v>8.2091268437143738E-49</c:v>
                </c:pt>
                <c:pt idx="1">
                  <c:v>8.3657105431850615E-25</c:v>
                </c:pt>
                <c:pt idx="2">
                  <c:v>1.451940889272609E-14</c:v>
                </c:pt>
                <c:pt idx="3">
                  <c:v>5.5659414722975571E-9</c:v>
                </c:pt>
                <c:pt idx="4">
                  <c:v>1.3578883258762379E-5</c:v>
                </c:pt>
                <c:pt idx="5">
                  <c:v>2.0178734766216431E-3</c:v>
                </c:pt>
                <c:pt idx="6">
                  <c:v>5.4946259846167814E-2</c:v>
                </c:pt>
                <c:pt idx="7">
                  <c:v>0.50469287242700855</c:v>
                </c:pt>
                <c:pt idx="8">
                  <c:v>2.2640231643145645</c:v>
                </c:pt>
                <c:pt idx="9">
                  <c:v>6.301266802851929</c:v>
                </c:pt>
                <c:pt idx="10">
                  <c:v>12.77974533408168</c:v>
                </c:pt>
                <c:pt idx="11">
                  <c:v>21.066741314988047</c:v>
                </c:pt>
                <c:pt idx="12">
                  <c:v>30.362944701509981</c:v>
                </c:pt>
                <c:pt idx="13">
                  <c:v>40.111678458831825</c:v>
                </c:pt>
                <c:pt idx="14">
                  <c:v>50.031651688172879</c:v>
                </c:pt>
                <c:pt idx="15">
                  <c:v>60.008395396421584</c:v>
                </c:pt>
                <c:pt idx="16">
                  <c:v>70.002112271682478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6D-4AB7-8563-287039EE159A}"/>
            </c:ext>
          </c:extLst>
        </c:ser>
        <c:ser>
          <c:idx val="1"/>
          <c:order val="1"/>
          <c:tx>
            <c:strRef>
              <c:f>Price!$G$2</c:f>
              <c:strCache>
                <c:ptCount val="1"/>
                <c:pt idx="0">
                  <c:v>0.2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Price!$E$3:$E$19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Price!$G$3:$G$19</c:f>
              <c:numCache>
                <c:formatCode>0.0</c:formatCode>
                <c:ptCount val="17"/>
                <c:pt idx="0">
                  <c:v>2.4238847056416554E-25</c:v>
                </c:pt>
                <c:pt idx="1">
                  <c:v>4.0811960026974908E-13</c:v>
                </c:pt>
                <c:pt idx="2">
                  <c:v>7.7330442736619536E-8</c:v>
                </c:pt>
                <c:pt idx="3">
                  <c:v>6.4852731097914313E-5</c:v>
                </c:pt>
                <c:pt idx="4">
                  <c:v>4.2049391098727892E-3</c:v>
                </c:pt>
                <c:pt idx="5">
                  <c:v>6.6026024076336273E-2</c:v>
                </c:pt>
                <c:pt idx="6">
                  <c:v>0.43784642581791777</c:v>
                </c:pt>
                <c:pt idx="7">
                  <c:v>1.6662760892735036</c:v>
                </c:pt>
                <c:pt idx="8">
                  <c:v>4.3738781590834055</c:v>
                </c:pt>
                <c:pt idx="9">
                  <c:v>8.9020707489366089</c:v>
                </c:pt>
                <c:pt idx="10">
                  <c:v>15.179383256742838</c:v>
                </c:pt>
                <c:pt idx="11">
                  <c:v>22.854945127936279</c:v>
                </c:pt>
                <c:pt idx="12">
                  <c:v>31.504063827697376</c:v>
                </c:pt>
                <c:pt idx="13">
                  <c:v>40.763566684734968</c:v>
                </c:pt>
                <c:pt idx="14">
                  <c:v>50.376256987935506</c:v>
                </c:pt>
                <c:pt idx="15">
                  <c:v>60.181079639636884</c:v>
                </c:pt>
                <c:pt idx="16">
                  <c:v>70.0855587805883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562-4B92-BBC2-B51AA76BE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BS Delta, r=q=0, vol=0.2, K=100, T=1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Delta!$I$2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Delta!$E$3:$E$19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Delta!$I$3:$I$19</c:f>
              <c:numCache>
                <c:formatCode>0.00000</c:formatCode>
                <c:ptCount val="17"/>
                <c:pt idx="0">
                  <c:v>1.8020028663081354E-30</c:v>
                </c:pt>
                <c:pt idx="1">
                  <c:v>9.5395176708178118E-16</c:v>
                </c:pt>
                <c:pt idx="2">
                  <c:v>1.6110395464149303E-9</c:v>
                </c:pt>
                <c:pt idx="3">
                  <c:v>3.7068165958527538E-6</c:v>
                </c:pt>
                <c:pt idx="4">
                  <c:v>3.8169879870480952E-4</c:v>
                </c:pt>
                <c:pt idx="5">
                  <c:v>7.0613327361399025E-3</c:v>
                </c:pt>
                <c:pt idx="6">
                  <c:v>4.6151286998280527E-2</c:v>
                </c:pt>
                <c:pt idx="7">
                  <c:v>0.15488190495460685</c:v>
                </c:pt>
                <c:pt idx="8">
                  <c:v>0.33476156420020331</c:v>
                </c:pt>
                <c:pt idx="9">
                  <c:v>0.53982783724038086</c:v>
                </c:pt>
                <c:pt idx="10">
                  <c:v>0.71787856181337872</c:v>
                </c:pt>
                <c:pt idx="11">
                  <c:v>0.84413718868248111</c:v>
                </c:pt>
                <c:pt idx="12">
                  <c:v>0.92099871078943352</c:v>
                </c:pt>
                <c:pt idx="13">
                  <c:v>0.96265482447677186</c:v>
                </c:pt>
                <c:pt idx="14">
                  <c:v>0.98330347803710083</c:v>
                </c:pt>
                <c:pt idx="15">
                  <c:v>0.99285754920686031</c:v>
                </c:pt>
                <c:pt idx="16">
                  <c:v>0.99704867885463955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6D-4342-9511-7EACDC46E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BS Gamma, r=q=0, vol=0.2, K=100, T=1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Gamma!$I$2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Gamma!$E$3:$E$19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Gamma!$I$3:$I$19</c:f>
              <c:numCache>
                <c:formatCode>0.000</c:formatCode>
                <c:ptCount val="17"/>
                <c:pt idx="0">
                  <c:v>1.0360843022560068E-29</c:v>
                </c:pt>
                <c:pt idx="1">
                  <c:v>1.9244275045590552E-15</c:v>
                </c:pt>
                <c:pt idx="2">
                  <c:v>1.6326128063251733E-9</c:v>
                </c:pt>
                <c:pt idx="3">
                  <c:v>2.1715031726568914E-6</c:v>
                </c:pt>
                <c:pt idx="4">
                  <c:v>1.383647374193081E-4</c:v>
                </c:pt>
                <c:pt idx="5">
                  <c:v>1.6364831365023313E-3</c:v>
                </c:pt>
                <c:pt idx="6">
                  <c:v>6.9093744614612262E-3</c:v>
                </c:pt>
                <c:pt idx="7">
                  <c:v>1.4885204180359324E-2</c:v>
                </c:pt>
                <c:pt idx="8">
                  <c:v>2.0234169895161358E-2</c:v>
                </c:pt>
                <c:pt idx="9">
                  <c:v>1.9847501420144908E-2</c:v>
                </c:pt>
                <c:pt idx="10">
                  <c:v>1.535673810337812E-2</c:v>
                </c:pt>
                <c:pt idx="11">
                  <c:v>9.9654506868773751E-3</c:v>
                </c:pt>
                <c:pt idx="12">
                  <c:v>5.6638249645857286E-3</c:v>
                </c:pt>
                <c:pt idx="13">
                  <c:v>2.9103830456733704E-3</c:v>
                </c:pt>
                <c:pt idx="14">
                  <c:v>1.383249070840975E-3</c:v>
                </c:pt>
                <c:pt idx="15">
                  <c:v>6.1923799421492731E-4</c:v>
                </c:pt>
                <c:pt idx="16">
                  <c:v>2.6574298317427747E-4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CF-43DA-BBB3-848C19A05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Gamma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BS Vega, r=q=0, vol=0.2, K=100, T=1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Vega!$I$2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Vega!$E$3:$E$19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Vega!$I$3:$I$19</c:f>
              <c:numCache>
                <c:formatCode>0.0</c:formatCode>
                <c:ptCount val="17"/>
                <c:pt idx="0">
                  <c:v>2.0736504738480499E-28</c:v>
                </c:pt>
                <c:pt idx="1">
                  <c:v>1.5398046440767393E-13</c:v>
                </c:pt>
                <c:pt idx="2">
                  <c:v>2.9388244062587311E-7</c:v>
                </c:pt>
                <c:pt idx="3">
                  <c:v>6.9489012783967828E-4</c:v>
                </c:pt>
                <c:pt idx="4">
                  <c:v>6.918299995080715E-2</c:v>
                </c:pt>
                <c:pt idx="5">
                  <c:v>1.1782550456210239</c:v>
                </c:pt>
                <c:pt idx="6">
                  <c:v>6.7712215489595939</c:v>
                </c:pt>
                <c:pt idx="7">
                  <c:v>19.053422199831747</c:v>
                </c:pt>
                <c:pt idx="8">
                  <c:v>32.779092375954107</c:v>
                </c:pt>
                <c:pt idx="9">
                  <c:v>39.695254731269003</c:v>
                </c:pt>
                <c:pt idx="10">
                  <c:v>37.163843368439586</c:v>
                </c:pt>
                <c:pt idx="11">
                  <c:v>28.699450581388675</c:v>
                </c:pt>
                <c:pt idx="12">
                  <c:v>19.143746343228685</c:v>
                </c:pt>
                <c:pt idx="13">
                  <c:v>11.407809595631591</c:v>
                </c:pt>
                <c:pt idx="14">
                  <c:v>6.2272820493447512</c:v>
                </c:pt>
                <c:pt idx="15">
                  <c:v>3.1738374221745858</c:v>
                </c:pt>
                <c:pt idx="16">
                  <c:v>1.5326031522988615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97-4B6F-A66C-E9DBB12C7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Vega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BS Rho, r=q=0, vol=0.2, K=100, T=1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Rho!$I$2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Rho!$E$3:$E$19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Rho!$I$3:$I$19</c:f>
              <c:numCache>
                <c:formatCode>0.0</c:formatCode>
                <c:ptCount val="17"/>
                <c:pt idx="0">
                  <c:v>1.7714257532059172E-29</c:v>
                </c:pt>
                <c:pt idx="1">
                  <c:v>1.8624027259700502E-14</c:v>
                </c:pt>
                <c:pt idx="2">
                  <c:v>4.682769188575278E-8</c:v>
                </c:pt>
                <c:pt idx="3">
                  <c:v>1.4242402047183629E-4</c:v>
                </c:pt>
                <c:pt idx="4">
                  <c:v>1.8141839996880377E-2</c:v>
                </c:pt>
                <c:pt idx="5">
                  <c:v>0.39756826354542252</c:v>
                </c:pt>
                <c:pt idx="6">
                  <c:v>2.9824806160445858</c:v>
                </c:pt>
                <c:pt idx="7">
                  <c:v>11.204623547924619</c:v>
                </c:pt>
                <c:pt idx="8">
                  <c:v>26.539433016206093</c:v>
                </c:pt>
                <c:pt idx="9">
                  <c:v>46.017215852831583</c:v>
                </c:pt>
                <c:pt idx="10">
                  <c:v>64.674629752508039</c:v>
                </c:pt>
                <c:pt idx="11">
                  <c:v>79.149162514635663</c:v>
                </c:pt>
                <c:pt idx="12">
                  <c:v>88.720959640564701</c:v>
                </c:pt>
                <c:pt idx="13">
                  <c:v>94.321642176282694</c:v>
                </c:pt>
                <c:pt idx="14">
                  <c:v>97.303045929990617</c:v>
                </c:pt>
                <c:pt idx="15">
                  <c:v>98.777610143088168</c:v>
                </c:pt>
                <c:pt idx="16">
                  <c:v>99.466219023227609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16-4312-BCD8-9429387D9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Rho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BS Theta, r=q=0, vol=0.2, K=100, T=1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Theta!$I$2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Theta!$E$3:$E$19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Theta!$I$3:$I$19</c:f>
              <c:numCache>
                <c:formatCode>0.0</c:formatCode>
                <c:ptCount val="17"/>
                <c:pt idx="0">
                  <c:v>-1.0326840582158593E-29</c:v>
                </c:pt>
                <c:pt idx="1">
                  <c:v>-7.6854853315251618E-15</c:v>
                </c:pt>
                <c:pt idx="2">
                  <c:v>-1.4680451007206892E-8</c:v>
                </c:pt>
                <c:pt idx="3">
                  <c:v>-3.4726610605059806E-5</c:v>
                </c:pt>
                <c:pt idx="4">
                  <c:v>-3.4581831647822981E-3</c:v>
                </c:pt>
                <c:pt idx="5">
                  <c:v>-5.8904575870634412E-2</c:v>
                </c:pt>
                <c:pt idx="6">
                  <c:v>-0.33854269900671086</c:v>
                </c:pt>
                <c:pt idx="7">
                  <c:v>-0.95266560415363521</c:v>
                </c:pt>
                <c:pt idx="8">
                  <c:v>-1.6389846849040879</c:v>
                </c:pt>
                <c:pt idx="9">
                  <c:v>-1.9848128550981059</c:v>
                </c:pt>
                <c:pt idx="10">
                  <c:v>-1.8582285889845451</c:v>
                </c:pt>
                <c:pt idx="11">
                  <c:v>-1.4349790580148181</c:v>
                </c:pt>
                <c:pt idx="12">
                  <c:v>-0.95717039389597858</c:v>
                </c:pt>
                <c:pt idx="13">
                  <c:v>-0.57036453373626728</c:v>
                </c:pt>
                <c:pt idx="14">
                  <c:v>-0.31133991281961926</c:v>
                </c:pt>
                <c:pt idx="15">
                  <c:v>-0.15867387705981173</c:v>
                </c:pt>
                <c:pt idx="16">
                  <c:v>-7.6618517255155894E-2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2C-49DC-8816-57D9E7F12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191620</xdr:colOff>
      <xdr:row>2</xdr:row>
      <xdr:rowOff>2615</xdr:rowOff>
    </xdr:from>
    <xdr:to>
      <xdr:col>20</xdr:col>
      <xdr:colOff>566270</xdr:colOff>
      <xdr:row>19</xdr:row>
      <xdr:rowOff>47065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BBCE76-BF14-4DC8-9F69-B64F8E09DC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234950</xdr:colOff>
      <xdr:row>1</xdr:row>
      <xdr:rowOff>95250</xdr:rowOff>
    </xdr:from>
    <xdr:to>
      <xdr:col>19</xdr:col>
      <xdr:colOff>0</xdr:colOff>
      <xdr:row>18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F45BF0-C1D7-4599-B8B9-E847F6BEC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2</xdr:row>
      <xdr:rowOff>12700</xdr:rowOff>
    </xdr:from>
    <xdr:to>
      <xdr:col>12</xdr:col>
      <xdr:colOff>495300</xdr:colOff>
      <xdr:row>19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D62A7C-562C-4A6B-B775-429C47040B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495300</xdr:colOff>
      <xdr:row>2</xdr:row>
      <xdr:rowOff>57150</xdr:rowOff>
    </xdr:from>
    <xdr:to>
      <xdr:col>14</xdr:col>
      <xdr:colOff>438150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00F46E-551A-479E-A6B1-60257B8904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</xdr:colOff>
      <xdr:row>1</xdr:row>
      <xdr:rowOff>158750</xdr:rowOff>
    </xdr:from>
    <xdr:to>
      <xdr:col>12</xdr:col>
      <xdr:colOff>482600</xdr:colOff>
      <xdr:row>19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9564CD-F148-499B-8FDB-586F963523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</xdr:colOff>
      <xdr:row>1</xdr:row>
      <xdr:rowOff>171450</xdr:rowOff>
    </xdr:from>
    <xdr:to>
      <xdr:col>12</xdr:col>
      <xdr:colOff>501650</xdr:colOff>
      <xdr:row>19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6620DD-BF48-40F1-9DDE-74FFD2B0E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J19"/>
  <sheetViews>
    <sheetView workbookViewId="0">
      <selection activeCell="D11" sqref="D11"/>
    </sheetView>
  </sheetViews>
  <sheetFormatPr defaultRowHeight="14.5" x14ac:dyDescent="0.35"/>
  <cols>
    <col min="6" max="6" width="11.81640625" bestFit="1" customWidth="1"/>
    <col min="7" max="7" width="9.81640625" bestFit="1" customWidth="1"/>
    <col min="8" max="9" width="11.81640625" bestFit="1" customWidth="1"/>
  </cols>
  <sheetData>
    <row r="1" spans="2:10" x14ac:dyDescent="0.35">
      <c r="F1" t="s">
        <v>12</v>
      </c>
      <c r="G1">
        <v>1E-4</v>
      </c>
      <c r="H1">
        <v>1E-4</v>
      </c>
      <c r="I1">
        <v>1E-4</v>
      </c>
      <c r="J1">
        <v>1E-4</v>
      </c>
    </row>
    <row r="2" spans="2:10" x14ac:dyDescent="0.35">
      <c r="B2" t="s">
        <v>0</v>
      </c>
      <c r="C2">
        <v>100</v>
      </c>
      <c r="E2" t="s">
        <v>0</v>
      </c>
      <c r="F2" t="s">
        <v>7</v>
      </c>
      <c r="G2" t="s">
        <v>8</v>
      </c>
      <c r="H2" t="s">
        <v>9</v>
      </c>
      <c r="I2" t="s">
        <v>10</v>
      </c>
      <c r="J2" t="s">
        <v>11</v>
      </c>
    </row>
    <row r="3" spans="2:10" x14ac:dyDescent="0.35">
      <c r="B3" t="s">
        <v>2</v>
      </c>
      <c r="C3">
        <v>0</v>
      </c>
      <c r="E3">
        <v>10</v>
      </c>
      <c r="F3" s="1">
        <f>BlackCallPrice(E3,$C$3,$C$4,$C$5,$C$7,$C$6)</f>
        <v>3.0586701126037154E-31</v>
      </c>
      <c r="G3" s="1">
        <f>BlackCallDelta(E3,$C$3,$C$4,$C$5,$C$7,$C$6,$G$1)</f>
        <v>1.8020028663081354E-30</v>
      </c>
      <c r="H3" s="1">
        <f>BlackCallGamma(E3,$C$3,$C$4,$C$5,$C$7,$C$6,$H$1)</f>
        <v>1.0360843022560068E-29</v>
      </c>
      <c r="I3" s="1">
        <f>BlackCallVega(E3,$C$3,$C$4,$C$5,$C$7,$C$6,$I$1)</f>
        <v>2.0736504738480499E-28</v>
      </c>
      <c r="J3" s="1">
        <f>BlackCallRho(E3,$C$3,$C$4,$C$5,$C$7,$C$6,$J$1)</f>
        <v>1.7714257532059172E-29</v>
      </c>
    </row>
    <row r="4" spans="2:10" x14ac:dyDescent="0.35">
      <c r="B4" t="s">
        <v>3</v>
      </c>
      <c r="C4">
        <v>0</v>
      </c>
      <c r="E4">
        <v>20</v>
      </c>
      <c r="F4" s="1">
        <f t="shared" ref="F4:F19" si="0">BlackCallPrice(E4,$C$3,$C$4,$C$5,$C$7,$C$6)</f>
        <v>4.5505769201974105E-16</v>
      </c>
      <c r="G4" s="1">
        <f t="shared" ref="G4:G19" si="1">BlackCallDelta(E4,$C$3,$C$4,$C$5,$C$7,$C$6,$G$1)</f>
        <v>9.5395176708178118E-16</v>
      </c>
      <c r="H4" s="1">
        <f t="shared" ref="H4:H19" si="2">BlackCallGamma(E4,$C$3,$C$4,$C$5,$C$7,$C$6,$H$1)</f>
        <v>1.9244275045590552E-15</v>
      </c>
      <c r="I4" s="1">
        <f t="shared" ref="I4:I19" si="3">BlackCallVega(E4,$C$3,$C$4,$C$5,$C$7,$C$6,$I$1)</f>
        <v>1.5398046440767393E-13</v>
      </c>
      <c r="J4" s="1">
        <f t="shared" ref="J4:J19" si="4">BlackCallRho(E4,$C$3,$C$4,$C$5,$C$7,$C$6,$J$1)</f>
        <v>1.8624027259700502E-14</v>
      </c>
    </row>
    <row r="5" spans="2:10" x14ac:dyDescent="0.35">
      <c r="B5" t="s">
        <v>4</v>
      </c>
      <c r="C5">
        <v>0.2</v>
      </c>
      <c r="E5">
        <v>30</v>
      </c>
      <c r="F5" s="1">
        <f t="shared" si="0"/>
        <v>1.5035646042794689E-9</v>
      </c>
      <c r="G5" s="1">
        <f t="shared" si="1"/>
        <v>1.6110395464149303E-9</v>
      </c>
      <c r="H5" s="1">
        <f t="shared" si="2"/>
        <v>1.6326128063251733E-9</v>
      </c>
      <c r="I5" s="1">
        <f t="shared" si="3"/>
        <v>2.9388244062587311E-7</v>
      </c>
      <c r="J5" s="1">
        <f t="shared" si="4"/>
        <v>4.682769188575278E-8</v>
      </c>
    </row>
    <row r="6" spans="2:10" x14ac:dyDescent="0.35">
      <c r="B6" t="s">
        <v>1</v>
      </c>
      <c r="C6">
        <v>100</v>
      </c>
      <c r="E6">
        <v>40</v>
      </c>
      <c r="F6" s="1">
        <f t="shared" si="0"/>
        <v>5.8487674687639136E-6</v>
      </c>
      <c r="G6" s="1">
        <f t="shared" si="1"/>
        <v>3.7068165958527538E-6</v>
      </c>
      <c r="H6" s="1">
        <f t="shared" si="2"/>
        <v>2.1715031726568914E-6</v>
      </c>
      <c r="I6" s="1">
        <f t="shared" si="3"/>
        <v>6.9489012783967828E-4</v>
      </c>
      <c r="J6" s="1">
        <f t="shared" si="4"/>
        <v>1.4242402047183629E-4</v>
      </c>
    </row>
    <row r="7" spans="2:10" x14ac:dyDescent="0.35">
      <c r="B7" t="s">
        <v>5</v>
      </c>
      <c r="C7">
        <v>1</v>
      </c>
      <c r="E7">
        <v>50</v>
      </c>
      <c r="F7" s="1">
        <f t="shared" si="0"/>
        <v>9.4310908807504197E-4</v>
      </c>
      <c r="G7" s="1">
        <f t="shared" si="1"/>
        <v>3.8169879870480952E-4</v>
      </c>
      <c r="H7" s="1">
        <f t="shared" si="2"/>
        <v>1.383647374193081E-4</v>
      </c>
      <c r="I7" s="1">
        <f t="shared" si="3"/>
        <v>6.918299995080715E-2</v>
      </c>
      <c r="J7" s="1">
        <f t="shared" si="4"/>
        <v>1.8141839996880377E-2</v>
      </c>
    </row>
    <row r="8" spans="2:10" x14ac:dyDescent="0.35">
      <c r="E8">
        <v>60</v>
      </c>
      <c r="F8" s="1">
        <f t="shared" si="0"/>
        <v>2.6111811907240604E-2</v>
      </c>
      <c r="G8" s="1">
        <f t="shared" si="1"/>
        <v>7.0613327361399025E-3</v>
      </c>
      <c r="H8" s="1">
        <f t="shared" si="2"/>
        <v>1.6364831365023313E-3</v>
      </c>
      <c r="I8" s="1">
        <f t="shared" si="3"/>
        <v>1.1782550456210239</v>
      </c>
      <c r="J8" s="1">
        <f t="shared" si="4"/>
        <v>0.39756826354542252</v>
      </c>
    </row>
    <row r="9" spans="2:10" x14ac:dyDescent="0.35">
      <c r="B9" t="s">
        <v>6</v>
      </c>
      <c r="C9">
        <f>BlackCallPrice(C2,C3,C4,C5,C7,C6)</f>
        <v>7.9655674554057976</v>
      </c>
      <c r="E9">
        <v>70</v>
      </c>
      <c r="F9" s="1">
        <f t="shared" si="0"/>
        <v>0.24810989689245078</v>
      </c>
      <c r="G9" s="1">
        <f t="shared" si="1"/>
        <v>4.6151286998280527E-2</v>
      </c>
      <c r="H9" s="1">
        <f t="shared" si="2"/>
        <v>6.9093744614612262E-3</v>
      </c>
      <c r="I9" s="1">
        <f t="shared" si="3"/>
        <v>6.7712215489595939</v>
      </c>
      <c r="J9" s="1">
        <f t="shared" si="4"/>
        <v>2.9824806160445858</v>
      </c>
    </row>
    <row r="10" spans="2:10" x14ac:dyDescent="0.35">
      <c r="E10">
        <v>80</v>
      </c>
      <c r="F10" s="1">
        <f t="shared" si="0"/>
        <v>1.1859295132104275</v>
      </c>
      <c r="G10" s="1">
        <f t="shared" si="1"/>
        <v>0.15488190495460685</v>
      </c>
      <c r="H10" s="1">
        <f t="shared" si="2"/>
        <v>1.4885204180359324E-2</v>
      </c>
      <c r="I10" s="1">
        <f t="shared" si="3"/>
        <v>19.053422199831747</v>
      </c>
      <c r="J10" s="1">
        <f t="shared" si="4"/>
        <v>11.204623547924619</v>
      </c>
    </row>
    <row r="11" spans="2:10" x14ac:dyDescent="0.35">
      <c r="E11">
        <v>90</v>
      </c>
      <c r="F11" s="1">
        <f t="shared" si="0"/>
        <v>3.5891081160547964</v>
      </c>
      <c r="G11" s="1">
        <f t="shared" si="1"/>
        <v>0.33476156420020331</v>
      </c>
      <c r="H11" s="1">
        <f t="shared" si="2"/>
        <v>2.0234169895161358E-2</v>
      </c>
      <c r="I11" s="1">
        <f t="shared" si="3"/>
        <v>32.779092375954107</v>
      </c>
      <c r="J11" s="1">
        <f t="shared" si="4"/>
        <v>26.539433016206093</v>
      </c>
    </row>
    <row r="12" spans="2:10" x14ac:dyDescent="0.35">
      <c r="E12">
        <v>100</v>
      </c>
      <c r="F12" s="1">
        <f t="shared" si="0"/>
        <v>7.9655674554057976</v>
      </c>
      <c r="G12" s="1">
        <f t="shared" si="1"/>
        <v>0.53982783724038086</v>
      </c>
      <c r="H12" s="1">
        <f t="shared" si="2"/>
        <v>1.9847501420144908E-2</v>
      </c>
      <c r="I12" s="1">
        <f t="shared" si="3"/>
        <v>39.695254731269003</v>
      </c>
      <c r="J12" s="1">
        <f t="shared" si="4"/>
        <v>46.017215852831583</v>
      </c>
    </row>
    <row r="13" spans="2:10" x14ac:dyDescent="0.35">
      <c r="E13">
        <v>110</v>
      </c>
      <c r="F13" s="1">
        <f t="shared" si="0"/>
        <v>14.292010941409888</v>
      </c>
      <c r="G13" s="1">
        <f t="shared" si="1"/>
        <v>0.71787856181337872</v>
      </c>
      <c r="H13" s="1">
        <f t="shared" si="2"/>
        <v>1.535673810337812E-2</v>
      </c>
      <c r="I13" s="1">
        <f t="shared" si="3"/>
        <v>37.163843368439586</v>
      </c>
      <c r="J13" s="1">
        <f t="shared" si="4"/>
        <v>64.674629752508039</v>
      </c>
    </row>
    <row r="14" spans="2:10" x14ac:dyDescent="0.35">
      <c r="E14">
        <v>120</v>
      </c>
      <c r="F14" s="1">
        <f t="shared" si="0"/>
        <v>22.147298810578143</v>
      </c>
      <c r="G14" s="1">
        <f t="shared" si="1"/>
        <v>0.84413718868248111</v>
      </c>
      <c r="H14" s="1">
        <f t="shared" si="2"/>
        <v>9.9654506868773751E-3</v>
      </c>
      <c r="I14" s="1">
        <f t="shared" si="3"/>
        <v>28.699450581388675</v>
      </c>
      <c r="J14" s="1">
        <f t="shared" si="4"/>
        <v>79.149162514635663</v>
      </c>
    </row>
    <row r="15" spans="2:10" x14ac:dyDescent="0.35">
      <c r="E15">
        <v>130</v>
      </c>
      <c r="F15" s="1">
        <f t="shared" si="0"/>
        <v>31.008871615968598</v>
      </c>
      <c r="G15" s="1">
        <f t="shared" si="1"/>
        <v>0.92099871078943352</v>
      </c>
      <c r="H15" s="1">
        <f t="shared" si="2"/>
        <v>5.6638249645857286E-3</v>
      </c>
      <c r="I15" s="1">
        <f t="shared" si="3"/>
        <v>19.143746343228685</v>
      </c>
      <c r="J15" s="1">
        <f t="shared" si="4"/>
        <v>88.720959640564701</v>
      </c>
    </row>
    <row r="16" spans="2:10" x14ac:dyDescent="0.35">
      <c r="E16">
        <v>140</v>
      </c>
      <c r="F16" s="1">
        <f t="shared" si="0"/>
        <v>40.450032451908108</v>
      </c>
      <c r="G16" s="1">
        <f t="shared" si="1"/>
        <v>0.96265482447677186</v>
      </c>
      <c r="H16" s="1">
        <f t="shared" si="2"/>
        <v>2.9103830456733704E-3</v>
      </c>
      <c r="I16" s="1">
        <f t="shared" si="3"/>
        <v>11.407809595631591</v>
      </c>
      <c r="J16" s="1">
        <f t="shared" si="4"/>
        <v>94.321642176282694</v>
      </c>
    </row>
    <row r="17" spans="5:10" x14ac:dyDescent="0.35">
      <c r="E17">
        <v>150</v>
      </c>
      <c r="F17" s="1">
        <f t="shared" si="0"/>
        <v>50.192475323297067</v>
      </c>
      <c r="G17" s="1">
        <f t="shared" si="1"/>
        <v>0.98330347803710083</v>
      </c>
      <c r="H17" s="1">
        <f t="shared" si="2"/>
        <v>1.383249070840975E-3</v>
      </c>
      <c r="I17" s="1">
        <f t="shared" si="3"/>
        <v>6.2272820493447512</v>
      </c>
      <c r="J17" s="1">
        <f t="shared" si="4"/>
        <v>97.303045929990617</v>
      </c>
    </row>
    <row r="18" spans="5:10" x14ac:dyDescent="0.35">
      <c r="E18">
        <v>160</v>
      </c>
      <c r="F18" s="1">
        <f t="shared" si="0"/>
        <v>60.079597547965562</v>
      </c>
      <c r="G18" s="1">
        <f t="shared" si="1"/>
        <v>0.99285754920686031</v>
      </c>
      <c r="H18" s="1">
        <f t="shared" si="2"/>
        <v>6.1923799421492731E-4</v>
      </c>
      <c r="I18" s="1">
        <f t="shared" si="3"/>
        <v>3.1738374221745858</v>
      </c>
      <c r="J18" s="1">
        <f t="shared" si="4"/>
        <v>98.777610143088168</v>
      </c>
    </row>
    <row r="19" spans="5:10" x14ac:dyDescent="0.35">
      <c r="E19">
        <v>170</v>
      </c>
      <c r="F19" s="1">
        <f t="shared" si="0"/>
        <v>70.032056366164525</v>
      </c>
      <c r="G19" s="1">
        <f t="shared" si="1"/>
        <v>0.99704867885463955</v>
      </c>
      <c r="H19" s="1">
        <f t="shared" si="2"/>
        <v>2.6574298317427747E-4</v>
      </c>
      <c r="I19" s="1">
        <f t="shared" si="3"/>
        <v>1.5326031522988615</v>
      </c>
      <c r="J19" s="1">
        <f t="shared" si="4"/>
        <v>99.466219023227609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L19"/>
  <sheetViews>
    <sheetView zoomScale="85" zoomScaleNormal="85" workbookViewId="0">
      <selection activeCell="F3" sqref="F3"/>
    </sheetView>
  </sheetViews>
  <sheetFormatPr defaultRowHeight="14.5" x14ac:dyDescent="0.35"/>
  <cols>
    <col min="6" max="6" width="9.81640625" bestFit="1" customWidth="1"/>
    <col min="7" max="8" width="11.81640625" bestFit="1" customWidth="1"/>
  </cols>
  <sheetData>
    <row r="1" spans="2:12" x14ac:dyDescent="0.35">
      <c r="E1" t="s">
        <v>13</v>
      </c>
    </row>
    <row r="2" spans="2:12" x14ac:dyDescent="0.35">
      <c r="F2">
        <v>0.1</v>
      </c>
      <c r="G2">
        <v>0.2</v>
      </c>
      <c r="H2">
        <v>0.5</v>
      </c>
      <c r="I2">
        <v>1</v>
      </c>
      <c r="J2">
        <v>2</v>
      </c>
      <c r="K2">
        <v>5</v>
      </c>
      <c r="L2">
        <v>10</v>
      </c>
    </row>
    <row r="3" spans="2:12" x14ac:dyDescent="0.35">
      <c r="B3" t="s">
        <v>2</v>
      </c>
      <c r="C3">
        <v>0</v>
      </c>
      <c r="E3">
        <v>10</v>
      </c>
      <c r="F3" s="3">
        <f>BlackCallPrice($E3,$C$3,$C$4,$C$5,F$2,$C$6)</f>
        <v>8.2091268437143738E-49</v>
      </c>
      <c r="G3" s="3">
        <f t="shared" ref="G3:L18" si="0">BlackCallPrice($E3,$C$3,$C$4,$C$5,G$2,$C$6)</f>
        <v>2.4238847056416554E-25</v>
      </c>
      <c r="H3" s="3">
        <f t="shared" si="0"/>
        <v>5.9770418221409172E-11</v>
      </c>
      <c r="I3" s="3">
        <f t="shared" si="0"/>
        <v>6.3400895081251831E-6</v>
      </c>
      <c r="J3" s="3">
        <f t="shared" si="0"/>
        <v>3.1767838785865723E-3</v>
      </c>
      <c r="K3" s="3">
        <f t="shared" si="0"/>
        <v>0.22588219920744249</v>
      </c>
      <c r="L3" s="3">
        <f t="shared" si="0"/>
        <v>1.2954979092532375</v>
      </c>
    </row>
    <row r="4" spans="2:12" x14ac:dyDescent="0.35">
      <c r="B4" t="s">
        <v>3</v>
      </c>
      <c r="C4">
        <v>0</v>
      </c>
      <c r="E4">
        <v>20</v>
      </c>
      <c r="F4" s="3">
        <f t="shared" ref="F4:L19" si="1">BlackCallPrice($E4,$C$3,$C$4,$C$5,F$2,$C$6)</f>
        <v>8.3657105431850615E-25</v>
      </c>
      <c r="G4" s="3">
        <f t="shared" si="0"/>
        <v>4.0811960026974908E-13</v>
      </c>
      <c r="H4" s="3">
        <f t="shared" si="0"/>
        <v>8.3699104462814293E-6</v>
      </c>
      <c r="I4" s="3">
        <f t="shared" si="0"/>
        <v>3.7570873180391836E-3</v>
      </c>
      <c r="J4" s="3">
        <f t="shared" si="0"/>
        <v>0.11801033164766453</v>
      </c>
      <c r="K4" s="3">
        <f t="shared" si="0"/>
        <v>1.5029451085020931</v>
      </c>
      <c r="L4" s="3">
        <f t="shared" si="0"/>
        <v>4.674993281404384</v>
      </c>
    </row>
    <row r="5" spans="2:12" x14ac:dyDescent="0.35">
      <c r="B5" t="s">
        <v>4</v>
      </c>
      <c r="C5">
        <v>0.5</v>
      </c>
      <c r="E5">
        <v>30</v>
      </c>
      <c r="F5" s="3">
        <f t="shared" si="1"/>
        <v>1.451940889272609E-14</v>
      </c>
      <c r="G5" s="3">
        <f t="shared" si="0"/>
        <v>7.7330442736619536E-8</v>
      </c>
      <c r="H5" s="3">
        <f t="shared" si="0"/>
        <v>1.6209840453896853E-3</v>
      </c>
      <c r="I5" s="3">
        <f t="shared" si="0"/>
        <v>7.0888012650557858E-2</v>
      </c>
      <c r="J5" s="3">
        <f t="shared" si="0"/>
        <v>0.67144327839561546</v>
      </c>
      <c r="K5" s="3">
        <f t="shared" si="0"/>
        <v>3.9752504671480891</v>
      </c>
      <c r="L5" s="3">
        <f t="shared" si="0"/>
        <v>9.3155808222640264</v>
      </c>
    </row>
    <row r="6" spans="2:12" x14ac:dyDescent="0.35">
      <c r="B6" t="s">
        <v>1</v>
      </c>
      <c r="C6">
        <v>100</v>
      </c>
      <c r="E6">
        <v>40</v>
      </c>
      <c r="F6" s="3">
        <f t="shared" si="1"/>
        <v>5.5659414722975571E-9</v>
      </c>
      <c r="G6" s="3">
        <f t="shared" si="0"/>
        <v>6.4852731097914313E-5</v>
      </c>
      <c r="H6" s="3">
        <f t="shared" si="0"/>
        <v>3.3175399119943695E-2</v>
      </c>
      <c r="I6" s="3">
        <f t="shared" si="0"/>
        <v>0.40586830947763375</v>
      </c>
      <c r="J6" s="3">
        <f t="shared" si="0"/>
        <v>1.9675650445885915</v>
      </c>
      <c r="K6" s="3">
        <f t="shared" si="0"/>
        <v>7.4876382484621864</v>
      </c>
      <c r="L6" s="3">
        <f t="shared" si="0"/>
        <v>14.810076179438294</v>
      </c>
    </row>
    <row r="7" spans="2:12" x14ac:dyDescent="0.35">
      <c r="E7">
        <v>50</v>
      </c>
      <c r="F7" s="3">
        <f t="shared" si="1"/>
        <v>1.3578883258762379E-5</v>
      </c>
      <c r="G7" s="3">
        <f t="shared" si="0"/>
        <v>4.2049391098727892E-3</v>
      </c>
      <c r="H7" s="3">
        <f t="shared" si="0"/>
        <v>0.23294127431729428</v>
      </c>
      <c r="I7" s="3">
        <f t="shared" si="0"/>
        <v>1.3069349644005537</v>
      </c>
      <c r="J7" s="3">
        <f t="shared" si="0"/>
        <v>4.1580381954621934</v>
      </c>
      <c r="K7" s="3">
        <f t="shared" si="0"/>
        <v>11.864748154687971</v>
      </c>
      <c r="L7" s="3">
        <f t="shared" si="0"/>
        <v>20.92805600922939</v>
      </c>
    </row>
    <row r="8" spans="2:12" x14ac:dyDescent="0.35">
      <c r="E8">
        <v>60</v>
      </c>
      <c r="F8" s="3">
        <f t="shared" si="1"/>
        <v>2.0178734766216431E-3</v>
      </c>
      <c r="G8" s="3">
        <f t="shared" si="0"/>
        <v>6.6026024076336273E-2</v>
      </c>
      <c r="H8" s="3">
        <f t="shared" si="0"/>
        <v>0.89898805405408644</v>
      </c>
      <c r="I8" s="3">
        <f t="shared" si="0"/>
        <v>3.0347774017836229</v>
      </c>
      <c r="J8" s="3">
        <f t="shared" si="0"/>
        <v>7.2698567285480484</v>
      </c>
      <c r="K8" s="3">
        <f t="shared" si="0"/>
        <v>16.956639870336531</v>
      </c>
      <c r="L8" s="3">
        <f t="shared" si="0"/>
        <v>27.524026182102158</v>
      </c>
    </row>
    <row r="9" spans="2:12" x14ac:dyDescent="0.35">
      <c r="E9">
        <v>70</v>
      </c>
      <c r="F9" s="3">
        <f t="shared" si="1"/>
        <v>5.4946259846167814E-2</v>
      </c>
      <c r="G9" s="3">
        <f t="shared" si="0"/>
        <v>0.43784642581791777</v>
      </c>
      <c r="H9" s="3">
        <f t="shared" si="0"/>
        <v>2.3993771586132047</v>
      </c>
      <c r="I9" s="3">
        <f t="shared" si="0"/>
        <v>5.7403774530299856</v>
      </c>
      <c r="J9" s="3">
        <f t="shared" si="0"/>
        <v>11.257475083128616</v>
      </c>
      <c r="K9" s="3">
        <f t="shared" si="0"/>
        <v>22.64217732196963</v>
      </c>
      <c r="L9" s="3">
        <f t="shared" si="0"/>
        <v>34.499254233321672</v>
      </c>
    </row>
    <row r="10" spans="2:12" x14ac:dyDescent="0.35">
      <c r="E10">
        <v>80</v>
      </c>
      <c r="F10" s="3">
        <f t="shared" si="1"/>
        <v>0.50469287242700855</v>
      </c>
      <c r="G10" s="3">
        <f t="shared" si="0"/>
        <v>1.6662760892735036</v>
      </c>
      <c r="H10" s="3">
        <f t="shared" si="0"/>
        <v>5.0257673890332848</v>
      </c>
      <c r="I10" s="3">
        <f t="shared" si="0"/>
        <v>9.4629657976505772</v>
      </c>
      <c r="J10" s="3">
        <f t="shared" si="0"/>
        <v>16.041124495599508</v>
      </c>
      <c r="K10" s="3">
        <f t="shared" si="0"/>
        <v>28.824588289841671</v>
      </c>
      <c r="L10" s="3">
        <f t="shared" si="0"/>
        <v>41.783229777828048</v>
      </c>
    </row>
    <row r="11" spans="2:12" x14ac:dyDescent="0.35">
      <c r="E11">
        <v>90</v>
      </c>
      <c r="F11" s="3">
        <f t="shared" si="1"/>
        <v>2.2640231643145645</v>
      </c>
      <c r="G11" s="3">
        <f t="shared" si="0"/>
        <v>4.3738781590834055</v>
      </c>
      <c r="H11" s="3">
        <f t="shared" si="0"/>
        <v>8.9108301867418476</v>
      </c>
      <c r="I11" s="3">
        <f t="shared" si="0"/>
        <v>14.160002955196056</v>
      </c>
      <c r="J11" s="3">
        <f t="shared" si="0"/>
        <v>21.529636359520325</v>
      </c>
      <c r="K11" s="3">
        <f t="shared" si="0"/>
        <v>35.42636698899544</v>
      </c>
      <c r="L11" s="3">
        <f t="shared" si="0"/>
        <v>49.323633836854235</v>
      </c>
    </row>
    <row r="12" spans="2:12" x14ac:dyDescent="0.35">
      <c r="E12">
        <v>100</v>
      </c>
      <c r="F12" s="3">
        <f t="shared" si="1"/>
        <v>6.301266802851929</v>
      </c>
      <c r="G12" s="3">
        <f t="shared" si="0"/>
        <v>8.9020707489366089</v>
      </c>
      <c r="H12" s="3">
        <f t="shared" si="0"/>
        <v>14.031620480133377</v>
      </c>
      <c r="I12" s="3">
        <f t="shared" si="0"/>
        <v>19.74126513658474</v>
      </c>
      <c r="J12" s="3">
        <f t="shared" si="0"/>
        <v>27.632639016823695</v>
      </c>
      <c r="K12" s="3">
        <f t="shared" si="0"/>
        <v>42.384987796942106</v>
      </c>
      <c r="L12" s="3">
        <f t="shared" si="0"/>
        <v>57.080469955965093</v>
      </c>
    </row>
    <row r="13" spans="2:12" x14ac:dyDescent="0.35">
      <c r="E13">
        <v>110</v>
      </c>
      <c r="F13" s="3">
        <f t="shared" si="1"/>
        <v>12.77974533408168</v>
      </c>
      <c r="G13" s="3">
        <f t="shared" si="0"/>
        <v>15.179383256742838</v>
      </c>
      <c r="H13" s="3">
        <f t="shared" si="0"/>
        <v>20.259312807045429</v>
      </c>
      <c r="I13" s="3">
        <f t="shared" si="0"/>
        <v>26.095681194570233</v>
      </c>
      <c r="J13" s="3">
        <f t="shared" si="0"/>
        <v>34.266416930441217</v>
      </c>
      <c r="K13" s="3">
        <f t="shared" si="0"/>
        <v>49.649569033390577</v>
      </c>
      <c r="L13" s="3">
        <f t="shared" si="0"/>
        <v>65.022419731355171</v>
      </c>
    </row>
    <row r="14" spans="2:12" x14ac:dyDescent="0.35">
      <c r="E14">
        <v>120</v>
      </c>
      <c r="F14" s="3">
        <f t="shared" si="1"/>
        <v>21.066741314988047</v>
      </c>
      <c r="G14" s="3">
        <f t="shared" si="0"/>
        <v>22.854945127936279</v>
      </c>
      <c r="H14" s="3">
        <f t="shared" si="0"/>
        <v>27.415094419554816</v>
      </c>
      <c r="I14" s="3">
        <f t="shared" si="0"/>
        <v>33.108974138557578</v>
      </c>
      <c r="J14" s="3">
        <f t="shared" si="0"/>
        <v>41.35623909030565</v>
      </c>
      <c r="K14" s="3">
        <f t="shared" si="0"/>
        <v>57.178333795876149</v>
      </c>
      <c r="L14" s="3">
        <f t="shared" si="0"/>
        <v>73.124470939387322</v>
      </c>
    </row>
    <row r="15" spans="2:12" x14ac:dyDescent="0.35">
      <c r="E15">
        <v>130</v>
      </c>
      <c r="F15" s="3">
        <f t="shared" si="1"/>
        <v>30.362944701509981</v>
      </c>
      <c r="G15" s="3">
        <f t="shared" si="0"/>
        <v>31.504063827697376</v>
      </c>
      <c r="H15" s="3">
        <f t="shared" si="0"/>
        <v>35.312289411587606</v>
      </c>
      <c r="I15" s="3">
        <f t="shared" si="0"/>
        <v>40.673734749949766</v>
      </c>
      <c r="J15" s="3">
        <f t="shared" si="0"/>
        <v>48.836822301649022</v>
      </c>
      <c r="K15" s="3">
        <f t="shared" si="0"/>
        <v>64.936683992632197</v>
      </c>
      <c r="L15" s="3">
        <f t="shared" si="0"/>
        <v>81.366314086814043</v>
      </c>
    </row>
    <row r="16" spans="2:12" x14ac:dyDescent="0.35">
      <c r="E16">
        <v>140</v>
      </c>
      <c r="F16" s="3">
        <f t="shared" si="1"/>
        <v>40.111678458831825</v>
      </c>
      <c r="G16" s="3">
        <f t="shared" si="0"/>
        <v>40.763566684734968</v>
      </c>
      <c r="H16" s="3">
        <f t="shared" si="0"/>
        <v>43.780943270349432</v>
      </c>
      <c r="I16" s="3">
        <f t="shared" si="0"/>
        <v>48.694258714962679</v>
      </c>
      <c r="J16" s="3">
        <f t="shared" si="0"/>
        <v>56.651873009931826</v>
      </c>
      <c r="K16" s="3">
        <f t="shared" si="0"/>
        <v>72.895733250156809</v>
      </c>
      <c r="L16" s="3">
        <f t="shared" si="0"/>
        <v>89.731223775233218</v>
      </c>
    </row>
    <row r="17" spans="5:12" x14ac:dyDescent="0.35">
      <c r="E17">
        <v>150</v>
      </c>
      <c r="F17" s="3">
        <f t="shared" si="1"/>
        <v>50.031651688172879</v>
      </c>
      <c r="G17" s="3">
        <f t="shared" si="0"/>
        <v>50.376256987935506</v>
      </c>
      <c r="H17" s="3">
        <f t="shared" si="0"/>
        <v>52.67846860889432</v>
      </c>
      <c r="I17" s="3">
        <f t="shared" si="0"/>
        <v>57.088134312870487</v>
      </c>
      <c r="J17" s="3">
        <f t="shared" si="0"/>
        <v>64.753225826752825</v>
      </c>
      <c r="K17" s="3">
        <f t="shared" si="0"/>
        <v>81.031180975333768</v>
      </c>
      <c r="L17" s="3">
        <f t="shared" si="0"/>
        <v>98.205257316138386</v>
      </c>
    </row>
    <row r="18" spans="5:12" x14ac:dyDescent="0.35">
      <c r="E18">
        <v>160</v>
      </c>
      <c r="F18" s="3">
        <f t="shared" si="1"/>
        <v>60.008395396421584</v>
      </c>
      <c r="G18" s="3">
        <f t="shared" si="0"/>
        <v>60.181079639636884</v>
      </c>
      <c r="H18" s="3">
        <f t="shared" si="0"/>
        <v>61.891506053030739</v>
      </c>
      <c r="I18" s="3">
        <f t="shared" si="0"/>
        <v>65.7859980041477</v>
      </c>
      <c r="J18" s="3">
        <f t="shared" si="0"/>
        <v>73.099854271497662</v>
      </c>
      <c r="K18" s="3">
        <f t="shared" si="0"/>
        <v>89.322440655285845</v>
      </c>
      <c r="L18" s="3">
        <f t="shared" si="0"/>
        <v>106.77666745240889</v>
      </c>
    </row>
    <row r="19" spans="5:12" x14ac:dyDescent="0.35">
      <c r="E19">
        <v>170</v>
      </c>
      <c r="F19" s="3">
        <f t="shared" si="1"/>
        <v>70.002112271682478</v>
      </c>
      <c r="G19" s="3">
        <f t="shared" si="1"/>
        <v>70.0855587805883</v>
      </c>
      <c r="H19" s="3">
        <f t="shared" si="1"/>
        <v>71.333235191190695</v>
      </c>
      <c r="I19" s="3">
        <f t="shared" si="1"/>
        <v>74.730374102929147</v>
      </c>
      <c r="J19" s="3">
        <f t="shared" si="1"/>
        <v>81.656893554555495</v>
      </c>
      <c r="K19" s="3">
        <f t="shared" si="1"/>
        <v>97.751958833427196</v>
      </c>
      <c r="L19" s="3">
        <f t="shared" si="1"/>
        <v>115.43546344974209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L19"/>
  <sheetViews>
    <sheetView workbookViewId="0">
      <selection activeCell="D18" sqref="D18"/>
    </sheetView>
  </sheetViews>
  <sheetFormatPr defaultRowHeight="14.5" x14ac:dyDescent="0.35"/>
  <cols>
    <col min="6" max="6" width="9.81640625" bestFit="1" customWidth="1"/>
    <col min="7" max="8" width="11.81640625" bestFit="1" customWidth="1"/>
  </cols>
  <sheetData>
    <row r="1" spans="2:12" x14ac:dyDescent="0.35">
      <c r="E1" t="s">
        <v>13</v>
      </c>
    </row>
    <row r="2" spans="2:12" x14ac:dyDescent="0.35">
      <c r="F2">
        <v>0.1</v>
      </c>
      <c r="G2">
        <v>0.2</v>
      </c>
      <c r="H2">
        <v>0.5</v>
      </c>
      <c r="I2">
        <v>1</v>
      </c>
      <c r="J2">
        <v>2</v>
      </c>
      <c r="K2">
        <v>5</v>
      </c>
      <c r="L2">
        <v>10</v>
      </c>
    </row>
    <row r="3" spans="2:12" x14ac:dyDescent="0.35">
      <c r="B3" t="s">
        <v>2</v>
      </c>
      <c r="C3">
        <v>0</v>
      </c>
      <c r="E3">
        <v>10</v>
      </c>
      <c r="F3" s="4">
        <f t="shared" ref="F3:L12" si="0">BlackCallDelta($E3,$C$3,$C$4,$C$5,F$2,$C$6,$C$8)</f>
        <v>5.2050244341902374E-290</v>
      </c>
      <c r="G3" s="4">
        <f t="shared" si="0"/>
        <v>6.0025715719101411E-146</v>
      </c>
      <c r="H3" s="4">
        <f t="shared" si="0"/>
        <v>2.1074121738706775E-59</v>
      </c>
      <c r="I3" s="4">
        <f t="shared" si="0"/>
        <v>1.8020028663081354E-30</v>
      </c>
      <c r="J3" s="4">
        <f t="shared" si="0"/>
        <v>6.2489965559876438E-16</v>
      </c>
      <c r="K3" s="4">
        <f t="shared" si="0"/>
        <v>4.215214527733737E-7</v>
      </c>
      <c r="L3" s="4">
        <f t="shared" si="0"/>
        <v>4.4291962773878105E-4</v>
      </c>
    </row>
    <row r="4" spans="2:12" x14ac:dyDescent="0.35">
      <c r="B4" t="s">
        <v>3</v>
      </c>
      <c r="C4">
        <v>0</v>
      </c>
      <c r="E4">
        <v>20</v>
      </c>
      <c r="F4" s="4">
        <f t="shared" si="0"/>
        <v>8.4294878820242117E-143</v>
      </c>
      <c r="G4" s="4">
        <f t="shared" si="0"/>
        <v>2.4281364969634987E-72</v>
      </c>
      <c r="H4" s="4">
        <f t="shared" si="0"/>
        <v>5.8722557714026929E-30</v>
      </c>
      <c r="I4" s="4">
        <f t="shared" si="0"/>
        <v>9.5395176708178118E-16</v>
      </c>
      <c r="J4" s="4">
        <f t="shared" si="0"/>
        <v>1.4381771034952595E-8</v>
      </c>
      <c r="K4" s="4">
        <f t="shared" si="0"/>
        <v>3.6880257470292468E-4</v>
      </c>
      <c r="L4" s="4">
        <f t="shared" si="0"/>
        <v>1.2923029094023819E-2</v>
      </c>
    </row>
    <row r="5" spans="2:12" x14ac:dyDescent="0.35">
      <c r="B5" t="s">
        <v>4</v>
      </c>
      <c r="C5">
        <v>0.2</v>
      </c>
      <c r="E5">
        <v>30</v>
      </c>
      <c r="F5" s="4">
        <f t="shared" si="0"/>
        <v>7.7732002459270927E-81</v>
      </c>
      <c r="G5" s="4">
        <f t="shared" si="0"/>
        <v>2.4331657604483834E-41</v>
      </c>
      <c r="H5" s="4">
        <f t="shared" si="0"/>
        <v>1.5509465988538267E-17</v>
      </c>
      <c r="I5" s="4">
        <f t="shared" si="0"/>
        <v>1.6110395464149303E-9</v>
      </c>
      <c r="J5" s="4">
        <f t="shared" si="0"/>
        <v>1.9336715512962579E-5</v>
      </c>
      <c r="K5" s="4">
        <f t="shared" si="0"/>
        <v>6.7829288199171278E-3</v>
      </c>
      <c r="L5" s="4">
        <f t="shared" si="0"/>
        <v>5.6208732674978279E-2</v>
      </c>
    </row>
    <row r="6" spans="2:12" x14ac:dyDescent="0.35">
      <c r="B6" t="s">
        <v>1</v>
      </c>
      <c r="C6">
        <v>100</v>
      </c>
      <c r="E6">
        <v>40</v>
      </c>
      <c r="F6" s="4">
        <f t="shared" si="0"/>
        <v>1.1454128566350342E-47</v>
      </c>
      <c r="G6" s="4">
        <f t="shared" si="0"/>
        <v>9.9421996198360958E-25</v>
      </c>
      <c r="H6" s="4">
        <f t="shared" si="0"/>
        <v>7.3506503760916561E-11</v>
      </c>
      <c r="I6" s="4">
        <f t="shared" si="0"/>
        <v>3.7068165958527538E-6</v>
      </c>
      <c r="J6" s="4">
        <f t="shared" si="0"/>
        <v>9.7364580934570372E-4</v>
      </c>
      <c r="K6" s="4">
        <f t="shared" si="0"/>
        <v>3.3979275260997976E-2</v>
      </c>
      <c r="L6" s="4">
        <f t="shared" si="0"/>
        <v>0.12870056871339131</v>
      </c>
    </row>
    <row r="7" spans="2:12" x14ac:dyDescent="0.35">
      <c r="E7">
        <v>50</v>
      </c>
      <c r="F7" s="4">
        <f t="shared" si="0"/>
        <v>4.2348914453673795E-28</v>
      </c>
      <c r="G7" s="4">
        <f t="shared" si="0"/>
        <v>6.5473043583269023E-15</v>
      </c>
      <c r="H7" s="4">
        <f t="shared" si="0"/>
        <v>6.806793744588183E-7</v>
      </c>
      <c r="I7" s="4">
        <f t="shared" si="0"/>
        <v>3.8169879870480952E-4</v>
      </c>
      <c r="J7" s="4">
        <f t="shared" si="0"/>
        <v>1.0465577152847516E-2</v>
      </c>
      <c r="K7" s="4">
        <f t="shared" si="0"/>
        <v>9.2367290172035155E-2</v>
      </c>
      <c r="L7" s="4">
        <f t="shared" si="0"/>
        <v>0.21777368484965365</v>
      </c>
    </row>
    <row r="8" spans="2:12" x14ac:dyDescent="0.35">
      <c r="B8" t="s">
        <v>12</v>
      </c>
      <c r="C8">
        <v>1E-4</v>
      </c>
      <c r="E8">
        <v>60</v>
      </c>
      <c r="F8" s="4">
        <f t="shared" si="0"/>
        <v>4.3038453156046003E-16</v>
      </c>
      <c r="G8" s="4">
        <f t="shared" si="0"/>
        <v>7.2879254326155048E-9</v>
      </c>
      <c r="H8" s="4">
        <f t="shared" si="0"/>
        <v>1.9902600926238702E-4</v>
      </c>
      <c r="I8" s="4">
        <f t="shared" si="0"/>
        <v>7.0613327361399025E-3</v>
      </c>
      <c r="J8" s="4">
        <f t="shared" si="0"/>
        <v>4.7994300642895116E-2</v>
      </c>
      <c r="K8" s="4">
        <f t="shared" si="0"/>
        <v>0.17914351528869332</v>
      </c>
      <c r="L8" s="4">
        <f t="shared" si="0"/>
        <v>0.31155111164693494</v>
      </c>
    </row>
    <row r="9" spans="2:12" x14ac:dyDescent="0.35">
      <c r="E9">
        <v>70</v>
      </c>
      <c r="F9" s="4">
        <f t="shared" si="0"/>
        <v>1.0239621844767987E-8</v>
      </c>
      <c r="G9" s="4">
        <f t="shared" si="0"/>
        <v>4.0230007498019118E-5</v>
      </c>
      <c r="H9" s="4">
        <f t="shared" si="0"/>
        <v>7.1158365574572335E-3</v>
      </c>
      <c r="I9" s="4">
        <f t="shared" si="0"/>
        <v>4.6151286998280527E-2</v>
      </c>
      <c r="J9" s="4">
        <f t="shared" si="0"/>
        <v>0.13143893004219365</v>
      </c>
      <c r="K9" s="4">
        <f t="shared" si="0"/>
        <v>0.28300331454733652</v>
      </c>
      <c r="L9" s="4">
        <f t="shared" si="0"/>
        <v>0.40217365659955817</v>
      </c>
    </row>
    <row r="10" spans="2:12" x14ac:dyDescent="0.35">
      <c r="E10">
        <v>80</v>
      </c>
      <c r="F10" s="4">
        <f t="shared" si="0"/>
        <v>2.356257886642287E-4</v>
      </c>
      <c r="G10" s="4">
        <f t="shared" si="0"/>
        <v>7.1408393840198536E-3</v>
      </c>
      <c r="H10" s="4">
        <f t="shared" si="0"/>
        <v>6.588578555843938E-2</v>
      </c>
      <c r="I10" s="4">
        <f t="shared" si="0"/>
        <v>0.15488190495460685</v>
      </c>
      <c r="J10" s="4">
        <f t="shared" si="0"/>
        <v>0.25865088618903798</v>
      </c>
      <c r="K10" s="4">
        <f t="shared" si="0"/>
        <v>0.39152085324012376</v>
      </c>
      <c r="L10" s="4">
        <f t="shared" si="0"/>
        <v>0.48540469567370792</v>
      </c>
    </row>
    <row r="11" spans="2:12" x14ac:dyDescent="0.35">
      <c r="E11">
        <v>90</v>
      </c>
      <c r="F11" s="4">
        <f t="shared" si="0"/>
        <v>5.110074416031507E-2</v>
      </c>
      <c r="G11" s="4">
        <f t="shared" si="0"/>
        <v>0.12855568732428324</v>
      </c>
      <c r="H11" s="4">
        <f t="shared" si="0"/>
        <v>0.25006008822270331</v>
      </c>
      <c r="I11" s="4">
        <f t="shared" si="0"/>
        <v>0.33476156420020331</v>
      </c>
      <c r="J11" s="4">
        <f t="shared" si="0"/>
        <v>0.40862464854019009</v>
      </c>
      <c r="K11" s="4">
        <f t="shared" si="0"/>
        <v>0.49521820190356891</v>
      </c>
      <c r="L11" s="4">
        <f t="shared" si="0"/>
        <v>0.55947495150476811</v>
      </c>
    </row>
    <row r="12" spans="2:12" x14ac:dyDescent="0.35">
      <c r="E12">
        <v>100</v>
      </c>
      <c r="F12" s="4">
        <f t="shared" si="0"/>
        <v>0.51261356035503525</v>
      </c>
      <c r="G12" s="4">
        <f t="shared" si="0"/>
        <v>0.51783529585014421</v>
      </c>
      <c r="H12" s="4">
        <f t="shared" si="0"/>
        <v>0.52818598885728818</v>
      </c>
      <c r="I12" s="4">
        <f t="shared" si="0"/>
        <v>0.53982783724038086</v>
      </c>
      <c r="J12" s="4">
        <f t="shared" si="0"/>
        <v>0.55623145800431928</v>
      </c>
      <c r="K12" s="4">
        <f t="shared" si="0"/>
        <v>0.58846836317627549</v>
      </c>
      <c r="L12" s="4">
        <f t="shared" si="0"/>
        <v>0.62408518299861271</v>
      </c>
    </row>
    <row r="13" spans="2:12" x14ac:dyDescent="0.35">
      <c r="E13">
        <v>110</v>
      </c>
      <c r="F13" s="4">
        <f>BlackCallDelta($E13,$C$3,$C$4,$C$5,F$2,$C$6,$C$8)</f>
        <v>0.93805011472269939</v>
      </c>
      <c r="G13" s="4">
        <f t="shared" ref="F13:L19" si="1">BlackCallDelta($E13,$C$3,$C$4,$C$5,G$2,$C$6,$C$8)</f>
        <v>0.86656975812005044</v>
      </c>
      <c r="H13" s="4">
        <f t="shared" si="1"/>
        <v>0.77175997303058352</v>
      </c>
      <c r="I13" s="4">
        <f t="shared" si="1"/>
        <v>0.71787856181337872</v>
      </c>
      <c r="J13" s="4">
        <f t="shared" si="1"/>
        <v>0.683815001831789</v>
      </c>
      <c r="K13" s="4">
        <f t="shared" si="1"/>
        <v>0.66884526862764915</v>
      </c>
      <c r="L13" s="4">
        <f t="shared" si="1"/>
        <v>0.67972372905344969</v>
      </c>
    </row>
    <row r="14" spans="2:12" x14ac:dyDescent="0.35">
      <c r="E14">
        <v>120</v>
      </c>
      <c r="F14" s="4">
        <f t="shared" si="1"/>
        <v>0.99821801937238774</v>
      </c>
      <c r="G14" s="4">
        <f t="shared" si="1"/>
        <v>0.98138069196451738</v>
      </c>
      <c r="H14" s="4">
        <f t="shared" si="1"/>
        <v>0.91307218472280738</v>
      </c>
      <c r="I14" s="4">
        <f t="shared" si="1"/>
        <v>0.84413718868248111</v>
      </c>
      <c r="J14" s="4">
        <f t="shared" si="1"/>
        <v>0.78407369729305287</v>
      </c>
      <c r="K14" s="4">
        <f t="shared" si="1"/>
        <v>0.73607460082669718</v>
      </c>
      <c r="L14" s="4">
        <f t="shared" si="1"/>
        <v>0.72724551493763556</v>
      </c>
    </row>
    <row r="15" spans="2:12" x14ac:dyDescent="0.35">
      <c r="E15">
        <v>130</v>
      </c>
      <c r="F15" s="4">
        <f t="shared" si="1"/>
        <v>0.99998542244961186</v>
      </c>
      <c r="G15" s="4">
        <f t="shared" si="1"/>
        <v>0.99854952367195438</v>
      </c>
      <c r="H15" s="4">
        <f t="shared" si="1"/>
        <v>0.97294195548158768</v>
      </c>
      <c r="I15" s="4">
        <f t="shared" si="1"/>
        <v>0.92099871078943352</v>
      </c>
      <c r="J15" s="4">
        <f t="shared" si="1"/>
        <v>0.85746947046771993</v>
      </c>
      <c r="K15" s="4">
        <f t="shared" si="1"/>
        <v>0.79110781729951896</v>
      </c>
      <c r="L15" s="4">
        <f t="shared" si="1"/>
        <v>0.7676293862601824</v>
      </c>
    </row>
    <row r="16" spans="2:12" x14ac:dyDescent="0.35">
      <c r="E16">
        <v>140</v>
      </c>
      <c r="F16" s="4">
        <f t="shared" si="1"/>
        <v>0.99999995647692685</v>
      </c>
      <c r="G16" s="4">
        <f t="shared" si="1"/>
        <v>0.99992955352234958</v>
      </c>
      <c r="H16" s="4">
        <f t="shared" si="1"/>
        <v>0.99285577437768779</v>
      </c>
      <c r="I16" s="4">
        <f t="shared" si="1"/>
        <v>0.96265482447677186</v>
      </c>
      <c r="J16" s="4">
        <f t="shared" si="1"/>
        <v>0.90841048876910691</v>
      </c>
      <c r="K16" s="4">
        <f t="shared" si="1"/>
        <v>0.83546320666982865</v>
      </c>
      <c r="L16" s="4">
        <f t="shared" si="1"/>
        <v>0.8018470259685273</v>
      </c>
    </row>
    <row r="17" spans="5:12" x14ac:dyDescent="0.35">
      <c r="E17">
        <v>150</v>
      </c>
      <c r="F17" s="4">
        <f t="shared" si="1"/>
        <v>0.99999999989108801</v>
      </c>
      <c r="G17" s="4">
        <f t="shared" si="1"/>
        <v>0.99999765243552474</v>
      </c>
      <c r="H17" s="4">
        <f t="shared" si="1"/>
        <v>0.99834715285851416</v>
      </c>
      <c r="I17" s="4">
        <f t="shared" si="1"/>
        <v>0.98330347803710083</v>
      </c>
      <c r="J17" s="4">
        <f t="shared" si="1"/>
        <v>0.94236681420056811</v>
      </c>
      <c r="K17" s="4">
        <f t="shared" si="1"/>
        <v>0.87081546631395668</v>
      </c>
      <c r="L17" s="4">
        <f t="shared" si="1"/>
        <v>0.83079822644549495</v>
      </c>
    </row>
    <row r="18" spans="5:12" x14ac:dyDescent="0.35">
      <c r="E18">
        <v>160</v>
      </c>
      <c r="F18" s="4">
        <f t="shared" si="1"/>
        <v>1.0000000000331966</v>
      </c>
      <c r="G18" s="4">
        <f t="shared" si="1"/>
        <v>0.99999994191080077</v>
      </c>
      <c r="H18" s="4">
        <f t="shared" si="1"/>
        <v>0.99965577536664796</v>
      </c>
      <c r="I18" s="4">
        <f t="shared" si="1"/>
        <v>0.99285754920686031</v>
      </c>
      <c r="J18" s="4">
        <f t="shared" si="1"/>
        <v>0.96431650199235719</v>
      </c>
      <c r="K18" s="4">
        <f t="shared" si="1"/>
        <v>0.8987687037631531</v>
      </c>
      <c r="L18" s="4">
        <f t="shared" si="1"/>
        <v>0.85528406302159965</v>
      </c>
    </row>
    <row r="19" spans="5:12" x14ac:dyDescent="0.35">
      <c r="E19">
        <v>170</v>
      </c>
      <c r="F19" s="4">
        <f t="shared" si="1"/>
        <v>1.0000000000331966</v>
      </c>
      <c r="G19" s="4">
        <f t="shared" si="1"/>
        <v>0.99999999889632818</v>
      </c>
      <c r="H19" s="4">
        <f t="shared" si="1"/>
        <v>0.99993403274822867</v>
      </c>
      <c r="I19" s="4">
        <f t="shared" si="1"/>
        <v>0.99704867885463955</v>
      </c>
      <c r="J19" s="4">
        <f t="shared" si="1"/>
        <v>0.97817704386216064</v>
      </c>
      <c r="K19" s="4">
        <f t="shared" si="1"/>
        <v>0.92074900116756453</v>
      </c>
      <c r="L19" s="4">
        <f t="shared" si="1"/>
        <v>0.87600078849447982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L19"/>
  <sheetViews>
    <sheetView workbookViewId="0">
      <selection activeCell="C6" sqref="C6"/>
    </sheetView>
  </sheetViews>
  <sheetFormatPr defaultRowHeight="14.5" x14ac:dyDescent="0.35"/>
  <cols>
    <col min="6" max="6" width="9.81640625" bestFit="1" customWidth="1"/>
    <col min="7" max="8" width="11.81640625" bestFit="1" customWidth="1"/>
  </cols>
  <sheetData>
    <row r="1" spans="2:12" x14ac:dyDescent="0.35">
      <c r="E1" t="s">
        <v>13</v>
      </c>
    </row>
    <row r="2" spans="2:12" x14ac:dyDescent="0.35">
      <c r="F2">
        <v>0.1</v>
      </c>
      <c r="G2">
        <v>0.2</v>
      </c>
      <c r="H2">
        <v>0.5</v>
      </c>
      <c r="I2">
        <v>1</v>
      </c>
      <c r="J2">
        <v>2</v>
      </c>
      <c r="K2">
        <v>5</v>
      </c>
      <c r="L2">
        <v>10</v>
      </c>
    </row>
    <row r="3" spans="2:12" x14ac:dyDescent="0.35">
      <c r="B3" t="s">
        <v>2</v>
      </c>
      <c r="C3">
        <v>0</v>
      </c>
      <c r="E3">
        <v>10</v>
      </c>
      <c r="F3" s="2">
        <f>BlackCallGamma($E3,$C$3,$C$4,$C$5,F$2,$C$6,$C$8)</f>
        <v>2.9959237042558384E-288</v>
      </c>
      <c r="G3" s="2">
        <f t="shared" ref="G3:L18" si="0">BlackCallGamma($E3,$C$3,$C$4,$C$5,G$2,$C$6,$C$8)</f>
        <v>1.7272862335516322E-144</v>
      </c>
      <c r="H3" s="2">
        <f>BlackCallGamma($E3,$C$3,$C$4,$C$5,H$2,$C$6,$C$8)</f>
        <v>2.4248338490943682E-58</v>
      </c>
      <c r="I3" s="2">
        <f t="shared" si="0"/>
        <v>1.0360843022560068E-29</v>
      </c>
      <c r="J3" s="2">
        <f t="shared" si="0"/>
        <v>1.7941796862956681E-15</v>
      </c>
      <c r="K3" s="2">
        <f t="shared" si="0"/>
        <v>4.820311732491252E-7</v>
      </c>
      <c r="L3" s="2">
        <f t="shared" si="0"/>
        <v>2.5115037274262703E-4</v>
      </c>
    </row>
    <row r="4" spans="2:12" x14ac:dyDescent="0.35">
      <c r="B4" t="s">
        <v>3</v>
      </c>
      <c r="C4">
        <v>0</v>
      </c>
      <c r="E4">
        <v>20</v>
      </c>
      <c r="F4" s="2">
        <f t="shared" ref="F4:L19" si="1">BlackCallGamma($E4,$C$3,$C$4,$C$5,F$2,$C$6,$C$8)</f>
        <v>1.6963420968769406E-141</v>
      </c>
      <c r="G4" s="2">
        <f t="shared" si="0"/>
        <v>2.4439003926470415E-71</v>
      </c>
      <c r="H4" s="2">
        <f t="shared" si="0"/>
        <v>2.366156075962734E-29</v>
      </c>
      <c r="I4" s="2">
        <f t="shared" si="0"/>
        <v>1.9244275045590552E-15</v>
      </c>
      <c r="J4" s="2">
        <f t="shared" si="0"/>
        <v>1.4539401107011728E-8</v>
      </c>
      <c r="K4" s="2">
        <f t="shared" si="0"/>
        <v>1.4983728233858296E-4</v>
      </c>
      <c r="L4" s="2">
        <f t="shared" si="0"/>
        <v>2.6328980662349011E-3</v>
      </c>
    </row>
    <row r="5" spans="2:12" x14ac:dyDescent="0.35">
      <c r="B5" t="s">
        <v>4</v>
      </c>
      <c r="C5">
        <v>0.2</v>
      </c>
      <c r="E5">
        <v>30</v>
      </c>
      <c r="F5" s="2">
        <f t="shared" si="1"/>
        <v>7.8074067314318134E-80</v>
      </c>
      <c r="G5" s="2">
        <f t="shared" si="0"/>
        <v>1.223239993023149E-40</v>
      </c>
      <c r="H5" s="2">
        <f t="shared" ref="H5:H15" si="2">BlackCallGamma($E5,$C$3,$C$4,$C$5,H$2,$C$6,$C$8)</f>
        <v>3.1284833750017458E-17</v>
      </c>
      <c r="I5" s="2">
        <f t="shared" si="0"/>
        <v>1.6326128063251733E-9</v>
      </c>
      <c r="J5" s="2">
        <f t="shared" si="0"/>
        <v>9.8802410548296145E-6</v>
      </c>
      <c r="K5" s="2">
        <f t="shared" si="0"/>
        <v>1.4126331181196772E-3</v>
      </c>
      <c r="L5" s="2">
        <f t="shared" si="0"/>
        <v>5.9644011951576204E-3</v>
      </c>
    </row>
    <row r="6" spans="2:12" x14ac:dyDescent="0.35">
      <c r="B6" t="s">
        <v>1</v>
      </c>
      <c r="C6">
        <v>100</v>
      </c>
      <c r="E6">
        <v>40</v>
      </c>
      <c r="F6" s="2">
        <f t="shared" si="1"/>
        <v>6.5762916824530285E-47</v>
      </c>
      <c r="G6" s="2">
        <f t="shared" si="0"/>
        <v>2.8611927162059217E-24</v>
      </c>
      <c r="H6" s="2">
        <f t="shared" si="2"/>
        <v>8.5212691610568368E-11</v>
      </c>
      <c r="I6" s="2">
        <f t="shared" si="0"/>
        <v>2.1715031726568914E-6</v>
      </c>
      <c r="J6" s="2">
        <f t="shared" si="0"/>
        <v>2.9040669608654257E-4</v>
      </c>
      <c r="K6" s="2">
        <f t="shared" si="0"/>
        <v>4.2157506652262811E-3</v>
      </c>
      <c r="L6" s="2">
        <f t="shared" si="0"/>
        <v>8.3040019305258284E-3</v>
      </c>
    </row>
    <row r="7" spans="2:12" x14ac:dyDescent="0.35">
      <c r="E7">
        <v>50</v>
      </c>
      <c r="F7" s="2">
        <f t="shared" si="1"/>
        <v>1.4755245153049012E-27</v>
      </c>
      <c r="G7" s="2">
        <f t="shared" si="0"/>
        <v>1.1464241189475651E-14</v>
      </c>
      <c r="H7" s="2">
        <f t="shared" si="2"/>
        <v>4.8350221404513277E-7</v>
      </c>
      <c r="I7" s="2">
        <f t="shared" si="0"/>
        <v>1.383647374193081E-4</v>
      </c>
      <c r="J7" s="2">
        <f t="shared" si="0"/>
        <v>1.9608949880511872E-3</v>
      </c>
      <c r="K7" s="2">
        <f t="shared" si="0"/>
        <v>7.4033862373923398E-3</v>
      </c>
      <c r="L7" s="2">
        <f t="shared" si="0"/>
        <v>9.3085650298974087E-3</v>
      </c>
    </row>
    <row r="8" spans="2:12" x14ac:dyDescent="0.35">
      <c r="B8" t="s">
        <v>12</v>
      </c>
      <c r="C8">
        <v>1E-4</v>
      </c>
      <c r="E8">
        <v>60</v>
      </c>
      <c r="F8" s="2">
        <f t="shared" si="1"/>
        <v>9.2615444267124894E-16</v>
      </c>
      <c r="G8" s="2">
        <f t="shared" si="0"/>
        <v>7.9218290068888112E-9</v>
      </c>
      <c r="H8" s="2">
        <f t="shared" si="2"/>
        <v>8.8907711488089847E-5</v>
      </c>
      <c r="I8" s="2">
        <f t="shared" si="0"/>
        <v>1.6364831365023313E-3</v>
      </c>
      <c r="J8" s="2">
        <f t="shared" si="0"/>
        <v>5.8816951309381693E-3</v>
      </c>
      <c r="K8" s="2">
        <f t="shared" si="0"/>
        <v>9.7499230911068935E-3</v>
      </c>
      <c r="L8" s="2">
        <f t="shared" si="0"/>
        <v>9.3169028048123437E-3</v>
      </c>
    </row>
    <row r="9" spans="2:12" x14ac:dyDescent="0.35">
      <c r="E9">
        <v>70</v>
      </c>
      <c r="F9" s="2">
        <f t="shared" si="1"/>
        <v>1.3360382157400445E-8</v>
      </c>
      <c r="G9" s="2">
        <f t="shared" si="0"/>
        <v>2.6802878526929839E-5</v>
      </c>
      <c r="H9" s="2">
        <f t="shared" si="2"/>
        <v>1.9971889593517478E-3</v>
      </c>
      <c r="I9" s="2">
        <f t="shared" si="0"/>
        <v>6.9093744614612262E-3</v>
      </c>
      <c r="J9" s="2">
        <f t="shared" si="0"/>
        <v>1.076609357220093E-2</v>
      </c>
      <c r="K9" s="2">
        <f t="shared" si="0"/>
        <v>1.0808798300843137E-2</v>
      </c>
      <c r="L9" s="2">
        <f t="shared" si="0"/>
        <v>8.7386542446665771E-3</v>
      </c>
    </row>
    <row r="10" spans="2:12" x14ac:dyDescent="0.35">
      <c r="E10">
        <v>80</v>
      </c>
      <c r="F10" s="2">
        <f t="shared" si="1"/>
        <v>1.7454937641754251E-4</v>
      </c>
      <c r="G10" s="2">
        <f t="shared" si="0"/>
        <v>2.7716661431254064E-3</v>
      </c>
      <c r="H10" s="2">
        <f t="shared" si="2"/>
        <v>1.1325369808634633E-2</v>
      </c>
      <c r="I10" s="2">
        <f t="shared" si="0"/>
        <v>1.4885204180359324E-2</v>
      </c>
      <c r="J10" s="2">
        <f t="shared" si="0"/>
        <v>1.4296330785867895E-2</v>
      </c>
      <c r="K10" s="2">
        <f t="shared" si="0"/>
        <v>1.0735656807980831E-2</v>
      </c>
      <c r="L10" s="2">
        <f t="shared" si="0"/>
        <v>7.879563668211631E-3</v>
      </c>
    </row>
    <row r="11" spans="2:12" x14ac:dyDescent="0.35">
      <c r="E11">
        <v>90</v>
      </c>
      <c r="F11" s="2">
        <f t="shared" si="1"/>
        <v>1.84361505228825E-2</v>
      </c>
      <c r="G11" s="2">
        <f t="shared" si="0"/>
        <v>2.6076454884282896E-2</v>
      </c>
      <c r="H11" s="2">
        <f t="shared" si="2"/>
        <v>2.4969981637923411E-2</v>
      </c>
      <c r="I11" s="2">
        <f t="shared" si="0"/>
        <v>2.0234169895161358E-2</v>
      </c>
      <c r="J11" s="2">
        <f t="shared" si="0"/>
        <v>1.5259216112895047E-2</v>
      </c>
      <c r="K11" s="2">
        <f t="shared" si="0"/>
        <v>9.9111385765127125E-3</v>
      </c>
      <c r="L11" s="2">
        <f t="shared" si="0"/>
        <v>6.9308114802879572E-3</v>
      </c>
    </row>
    <row r="12" spans="2:12" x14ac:dyDescent="0.35">
      <c r="E12">
        <v>100</v>
      </c>
      <c r="F12" s="2">
        <f t="shared" si="1"/>
        <v>6.3046767806440585E-2</v>
      </c>
      <c r="G12" s="2">
        <f t="shared" si="0"/>
        <v>4.4557957323831943E-2</v>
      </c>
      <c r="H12" s="2">
        <f t="shared" si="2"/>
        <v>2.813920207955789E-2</v>
      </c>
      <c r="I12" s="2">
        <f t="shared" si="0"/>
        <v>1.9847501420144908E-2</v>
      </c>
      <c r="J12" s="2">
        <f t="shared" si="0"/>
        <v>1.3963985523446354E-2</v>
      </c>
      <c r="K12" s="2">
        <f t="shared" si="0"/>
        <v>8.7003293458565167E-3</v>
      </c>
      <c r="L12" s="2">
        <f t="shared" si="0"/>
        <v>6.000089314284196E-3</v>
      </c>
    </row>
    <row r="13" spans="2:12" x14ac:dyDescent="0.35">
      <c r="E13">
        <v>110</v>
      </c>
      <c r="F13" s="2">
        <f t="shared" si="1"/>
        <v>1.755648959544942E-2</v>
      </c>
      <c r="G13" s="2">
        <f t="shared" si="0"/>
        <v>2.1891510826321792E-2</v>
      </c>
      <c r="H13" s="2">
        <f t="shared" si="2"/>
        <v>1.943458727282632E-2</v>
      </c>
      <c r="I13" s="2">
        <f t="shared" si="0"/>
        <v>1.535673810337812E-2</v>
      </c>
      <c r="J13" s="2">
        <f t="shared" si="0"/>
        <v>1.1436540603426693E-2</v>
      </c>
      <c r="K13" s="2">
        <f t="shared" si="0"/>
        <v>7.3719697013530094E-3</v>
      </c>
      <c r="L13" s="2">
        <f t="shared" si="0"/>
        <v>5.142108960853875E-3</v>
      </c>
    </row>
    <row r="14" spans="2:12" x14ac:dyDescent="0.35">
      <c r="E14">
        <v>120</v>
      </c>
      <c r="F14" s="2">
        <f t="shared" si="1"/>
        <v>7.5148776090827596E-4</v>
      </c>
      <c r="G14" s="2">
        <f t="shared" si="0"/>
        <v>4.2454040283246286E-3</v>
      </c>
      <c r="H14" s="2">
        <f t="shared" si="2"/>
        <v>9.3249852284316148E-3</v>
      </c>
      <c r="I14" s="2">
        <f t="shared" si="0"/>
        <v>9.9654506868773751E-3</v>
      </c>
      <c r="J14" s="2">
        <f t="shared" si="0"/>
        <v>8.6298079793323268E-3</v>
      </c>
      <c r="K14" s="2">
        <f t="shared" si="0"/>
        <v>6.0899729703578487E-3</v>
      </c>
      <c r="L14" s="2">
        <f t="shared" si="0"/>
        <v>4.3787196091216174E-3</v>
      </c>
    </row>
    <row r="15" spans="2:12" x14ac:dyDescent="0.35">
      <c r="E15">
        <v>130</v>
      </c>
      <c r="F15" s="2">
        <f t="shared" si="1"/>
        <v>7.9047879353311146E-6</v>
      </c>
      <c r="G15" s="2">
        <f t="shared" si="0"/>
        <v>4.0696335190659738E-4</v>
      </c>
      <c r="H15" s="2">
        <f t="shared" si="2"/>
        <v>3.3966607304591889E-3</v>
      </c>
      <c r="I15" s="2">
        <f t="shared" si="0"/>
        <v>5.6638249645857286E-3</v>
      </c>
      <c r="J15" s="2">
        <f t="shared" si="0"/>
        <v>6.127365281827224E-3</v>
      </c>
      <c r="K15" s="2">
        <f t="shared" si="0"/>
        <v>4.9418247272114968E-3</v>
      </c>
      <c r="L15" s="2">
        <f t="shared" si="0"/>
        <v>3.7143621511859237E-3</v>
      </c>
    </row>
    <row r="16" spans="2:12" x14ac:dyDescent="0.35">
      <c r="E16">
        <v>140</v>
      </c>
      <c r="F16" s="2">
        <f t="shared" si="1"/>
        <v>-3.5527136788005009E-7</v>
      </c>
      <c r="G16" s="2">
        <f t="shared" si="0"/>
        <v>2.2915003228263231E-5</v>
      </c>
      <c r="H16" s="2">
        <f t="shared" si="0"/>
        <v>1.0018652574217413E-3</v>
      </c>
      <c r="I16" s="2">
        <f t="shared" si="0"/>
        <v>2.9103830456733704E-3</v>
      </c>
      <c r="J16" s="2">
        <f t="shared" si="0"/>
        <v>4.1548986473571858E-3</v>
      </c>
      <c r="K16" s="2">
        <f t="shared" si="0"/>
        <v>3.957367766815878E-3</v>
      </c>
      <c r="L16" s="2">
        <f t="shared" si="0"/>
        <v>3.1437963343705633E-3</v>
      </c>
    </row>
    <row r="17" spans="5:12" x14ac:dyDescent="0.35">
      <c r="E17">
        <v>150</v>
      </c>
      <c r="F17" s="2">
        <f t="shared" si="1"/>
        <v>7.1054273576010019E-7</v>
      </c>
      <c r="G17" s="2">
        <f t="shared" si="0"/>
        <v>1.4210854715202004E-6</v>
      </c>
      <c r="H17" s="2">
        <f t="shared" si="0"/>
        <v>2.5188739982695552E-4</v>
      </c>
      <c r="I17" s="2">
        <f t="shared" si="0"/>
        <v>1.383249070840975E-3</v>
      </c>
      <c r="J17" s="2">
        <f t="shared" si="0"/>
        <v>2.7201352281736035E-3</v>
      </c>
      <c r="K17" s="2">
        <f t="shared" si="0"/>
        <v>3.1391778065881226E-3</v>
      </c>
      <c r="L17" s="2">
        <f t="shared" si="0"/>
        <v>2.6590285528982349E-3</v>
      </c>
    </row>
    <row r="18" spans="5:12" x14ac:dyDescent="0.35">
      <c r="E18">
        <v>160</v>
      </c>
      <c r="F18" s="2">
        <f t="shared" si="1"/>
        <v>0</v>
      </c>
      <c r="G18" s="2">
        <f t="shared" si="0"/>
        <v>1.7763568394002505E-7</v>
      </c>
      <c r="H18" s="2">
        <f t="shared" si="0"/>
        <v>5.5422333389287814E-5</v>
      </c>
      <c r="I18" s="2">
        <f t="shared" si="0"/>
        <v>6.1923799421492731E-4</v>
      </c>
      <c r="J18" s="2">
        <f t="shared" si="0"/>
        <v>1.7351453607261647E-3</v>
      </c>
      <c r="K18" s="2">
        <f t="shared" si="0"/>
        <v>2.4741098059166688E-3</v>
      </c>
      <c r="L18" s="2">
        <f t="shared" si="0"/>
        <v>2.248512487312837E-3</v>
      </c>
    </row>
    <row r="19" spans="5:12" x14ac:dyDescent="0.35">
      <c r="E19">
        <v>170</v>
      </c>
      <c r="F19" s="2">
        <f t="shared" si="1"/>
        <v>0</v>
      </c>
      <c r="G19" s="2">
        <f t="shared" si="1"/>
        <v>-7.1054273576010019E-7</v>
      </c>
      <c r="H19" s="2">
        <f t="shared" si="1"/>
        <v>1.0658141036401503E-5</v>
      </c>
      <c r="I19" s="2">
        <f t="shared" si="1"/>
        <v>2.6574298317427747E-4</v>
      </c>
      <c r="J19" s="2">
        <f t="shared" si="1"/>
        <v>1.0835776720341528E-3</v>
      </c>
      <c r="K19" s="2">
        <f t="shared" si="1"/>
        <v>1.9408474827287137E-3</v>
      </c>
      <c r="L19" s="2">
        <f t="shared" si="1"/>
        <v>1.9031887177334283E-3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L19"/>
  <sheetViews>
    <sheetView tabSelected="1" workbookViewId="0">
      <selection activeCell="C15" sqref="C15"/>
    </sheetView>
  </sheetViews>
  <sheetFormatPr defaultRowHeight="14.5" x14ac:dyDescent="0.35"/>
  <cols>
    <col min="6" max="6" width="9.81640625" bestFit="1" customWidth="1"/>
    <col min="7" max="8" width="11.81640625" bestFit="1" customWidth="1"/>
  </cols>
  <sheetData>
    <row r="1" spans="2:12" x14ac:dyDescent="0.35">
      <c r="E1" t="s">
        <v>13</v>
      </c>
    </row>
    <row r="2" spans="2:12" x14ac:dyDescent="0.35">
      <c r="F2">
        <v>0.1</v>
      </c>
      <c r="G2">
        <v>0.2</v>
      </c>
      <c r="H2">
        <v>0.5</v>
      </c>
      <c r="I2">
        <v>1</v>
      </c>
      <c r="J2">
        <v>2</v>
      </c>
      <c r="K2">
        <v>5</v>
      </c>
      <c r="L2">
        <v>10</v>
      </c>
    </row>
    <row r="3" spans="2:12" x14ac:dyDescent="0.35">
      <c r="B3" t="s">
        <v>2</v>
      </c>
      <c r="C3">
        <v>0</v>
      </c>
      <c r="E3">
        <v>10</v>
      </c>
      <c r="F3" s="3">
        <f>BlackCallVega($E3,$C$3,$C$4,$C$5,F$2,$C$6,$C$8)</f>
        <v>6.4390120236590459E-288</v>
      </c>
      <c r="G3" s="3">
        <f t="shared" ref="G3:L18" si="0">BlackCallVega($E3,$C$3,$C$4,$C$5,G$2,$C$6,$C$8)</f>
        <v>7.0356623610886309E-144</v>
      </c>
      <c r="H3" s="3">
        <f t="shared" si="0"/>
        <v>2.4318594172176612E-57</v>
      </c>
      <c r="I3" s="3">
        <f t="shared" si="0"/>
        <v>2.0736504738480499E-28</v>
      </c>
      <c r="J3" s="3">
        <f t="shared" si="0"/>
        <v>7.177961386996565E-14</v>
      </c>
      <c r="K3" s="3">
        <f t="shared" si="0"/>
        <v>4.8204346787435398E-5</v>
      </c>
      <c r="L3" s="3">
        <f t="shared" si="0"/>
        <v>5.02303709592496E-2</v>
      </c>
    </row>
    <row r="4" spans="2:12" x14ac:dyDescent="0.35">
      <c r="B4" t="s">
        <v>3</v>
      </c>
      <c r="C4">
        <v>0</v>
      </c>
      <c r="E4">
        <v>20</v>
      </c>
      <c r="F4" s="3">
        <f t="shared" ref="F4:L19" si="1">BlackCallVega($E4,$C$3,$C$4,$C$5,F$2,$C$6,$C$8)</f>
        <v>1.3808014407940044E-140</v>
      </c>
      <c r="G4" s="3">
        <f t="shared" si="0"/>
        <v>3.9271908865536388E-70</v>
      </c>
      <c r="H4" s="3">
        <f t="shared" si="0"/>
        <v>9.4710940455943906E-28</v>
      </c>
      <c r="I4" s="3">
        <f t="shared" si="0"/>
        <v>1.5398046440767393E-13</v>
      </c>
      <c r="J4" s="3">
        <f t="shared" si="0"/>
        <v>2.326398729315357E-6</v>
      </c>
      <c r="K4" s="3">
        <f t="shared" si="0"/>
        <v>5.9935336801906783E-2</v>
      </c>
      <c r="L4" s="3">
        <f t="shared" si="0"/>
        <v>2.1063216465368879</v>
      </c>
    </row>
    <row r="5" spans="2:12" x14ac:dyDescent="0.35">
      <c r="B5" t="s">
        <v>4</v>
      </c>
      <c r="C5">
        <v>0.2</v>
      </c>
      <c r="E5">
        <v>30</v>
      </c>
      <c r="F5" s="3">
        <f t="shared" si="1"/>
        <v>1.4129731924049007E-78</v>
      </c>
      <c r="G5" s="3">
        <f t="shared" si="0"/>
        <v>4.4095944032579066E-39</v>
      </c>
      <c r="H5" s="3">
        <f t="shared" si="0"/>
        <v>2.8162183937582191E-15</v>
      </c>
      <c r="I5" s="3">
        <f t="shared" si="0"/>
        <v>2.9388244062587311E-7</v>
      </c>
      <c r="J5" s="3">
        <f t="shared" si="0"/>
        <v>3.5569192600895692E-3</v>
      </c>
      <c r="K5" s="3">
        <f t="shared" si="0"/>
        <v>1.2713625171685039</v>
      </c>
      <c r="L5" s="3">
        <f t="shared" si="0"/>
        <v>10.735969243507725</v>
      </c>
    </row>
    <row r="6" spans="2:12" x14ac:dyDescent="0.35">
      <c r="B6" t="s">
        <v>1</v>
      </c>
      <c r="C6">
        <v>100</v>
      </c>
      <c r="E6">
        <v>40</v>
      </c>
      <c r="F6" s="3">
        <f t="shared" si="1"/>
        <v>2.108218959550063E-45</v>
      </c>
      <c r="G6" s="3">
        <f t="shared" si="0"/>
        <v>1.8319684355642449E-22</v>
      </c>
      <c r="H6" s="3">
        <f t="shared" si="0"/>
        <v>1.3634850640877672E-8</v>
      </c>
      <c r="I6" s="3">
        <f t="shared" si="0"/>
        <v>6.9489012783967828E-4</v>
      </c>
      <c r="J6" s="3">
        <f t="shared" si="0"/>
        <v>0.18585912735638588</v>
      </c>
      <c r="K6" s="3">
        <f t="shared" si="0"/>
        <v>6.7452170587713187</v>
      </c>
      <c r="L6" s="3">
        <f t="shared" si="0"/>
        <v>26.572925302293935</v>
      </c>
    </row>
    <row r="7" spans="2:12" x14ac:dyDescent="0.35">
      <c r="E7">
        <v>50</v>
      </c>
      <c r="F7" s="3">
        <f t="shared" si="1"/>
        <v>7.3819455158351319E-26</v>
      </c>
      <c r="G7" s="3">
        <f t="shared" si="0"/>
        <v>1.1465868962848006E-12</v>
      </c>
      <c r="H7" s="3">
        <f t="shared" si="0"/>
        <v>1.2087908087842748E-4</v>
      </c>
      <c r="I7" s="3">
        <f t="shared" si="0"/>
        <v>6.918299995080715E-2</v>
      </c>
      <c r="J7" s="3">
        <f t="shared" si="0"/>
        <v>1.9608951086795208</v>
      </c>
      <c r="K7" s="3">
        <f t="shared" si="0"/>
        <v>18.50876515619937</v>
      </c>
      <c r="L7" s="3">
        <f t="shared" si="0"/>
        <v>46.543354721337856</v>
      </c>
    </row>
    <row r="8" spans="2:12" x14ac:dyDescent="0.35">
      <c r="B8" t="s">
        <v>12</v>
      </c>
      <c r="C8">
        <v>1E-4</v>
      </c>
      <c r="E8">
        <v>60</v>
      </c>
      <c r="F8" s="3">
        <f t="shared" si="1"/>
        <v>6.6694307589900673E-14</v>
      </c>
      <c r="G8" s="3">
        <f t="shared" si="0"/>
        <v>1.1407940683244143E-6</v>
      </c>
      <c r="H8" s="3">
        <f t="shared" si="0"/>
        <v>3.2006388979675678E-2</v>
      </c>
      <c r="I8" s="3">
        <f t="shared" si="0"/>
        <v>1.1782550456210239</v>
      </c>
      <c r="J8" s="3">
        <f t="shared" si="0"/>
        <v>8.4697403137257155</v>
      </c>
      <c r="K8" s="3">
        <f t="shared" si="0"/>
        <v>35.099281241135479</v>
      </c>
      <c r="L8" s="3">
        <f t="shared" si="0"/>
        <v>67.083143111985592</v>
      </c>
    </row>
    <row r="9" spans="2:12" x14ac:dyDescent="0.35">
      <c r="E9">
        <v>70</v>
      </c>
      <c r="F9" s="3">
        <f t="shared" si="1"/>
        <v>1.3093402778473881E-6</v>
      </c>
      <c r="G9" s="3">
        <f t="shared" si="0"/>
        <v>5.2534004542867671E-3</v>
      </c>
      <c r="H9" s="3">
        <f t="shared" si="0"/>
        <v>0.97862778059986866</v>
      </c>
      <c r="I9" s="3">
        <f t="shared" si="0"/>
        <v>6.7712215489595939</v>
      </c>
      <c r="J9" s="3">
        <f t="shared" si="0"/>
        <v>21.101862917350942</v>
      </c>
      <c r="K9" s="3">
        <f t="shared" si="0"/>
        <v>52.961780494089616</v>
      </c>
      <c r="L9" s="3">
        <f t="shared" si="0"/>
        <v>85.641109225509382</v>
      </c>
    </row>
    <row r="10" spans="2:12" x14ac:dyDescent="0.35">
      <c r="E10">
        <v>80</v>
      </c>
      <c r="F10" s="3">
        <f t="shared" si="1"/>
        <v>2.2342639712611832E-2</v>
      </c>
      <c r="G10" s="3">
        <f t="shared" si="0"/>
        <v>0.70955055898611408</v>
      </c>
      <c r="H10" s="3">
        <f t="shared" si="0"/>
        <v>7.2482504342524789</v>
      </c>
      <c r="I10" s="3">
        <f t="shared" si="0"/>
        <v>19.053422199831747</v>
      </c>
      <c r="J10" s="3">
        <f t="shared" si="0"/>
        <v>36.599218064115036</v>
      </c>
      <c r="K10" s="3">
        <f t="shared" si="0"/>
        <v>68.710099046409567</v>
      </c>
      <c r="L10" s="3">
        <f t="shared" si="0"/>
        <v>100.85774899693867</v>
      </c>
    </row>
    <row r="11" spans="2:12" x14ac:dyDescent="0.35">
      <c r="E11">
        <v>90</v>
      </c>
      <c r="F11" s="3">
        <f t="shared" si="1"/>
        <v>2.9866550229244031</v>
      </c>
      <c r="G11" s="3">
        <f t="shared" si="0"/>
        <v>8.4488467601548383</v>
      </c>
      <c r="H11" s="3">
        <f t="shared" si="0"/>
        <v>20.225754977998278</v>
      </c>
      <c r="I11" s="3">
        <f t="shared" si="0"/>
        <v>32.779092375954107</v>
      </c>
      <c r="J11" s="3">
        <f t="shared" si="0"/>
        <v>49.439254221601558</v>
      </c>
      <c r="K11" s="3">
        <f t="shared" si="0"/>
        <v>80.279817168440459</v>
      </c>
      <c r="L11" s="3">
        <f t="shared" si="0"/>
        <v>112.27687132938868</v>
      </c>
    </row>
    <row r="12" spans="2:12" x14ac:dyDescent="0.35">
      <c r="E12">
        <v>100</v>
      </c>
      <c r="F12" s="3">
        <f t="shared" si="1"/>
        <v>12.609356355000045</v>
      </c>
      <c r="G12" s="3">
        <f t="shared" si="0"/>
        <v>17.823408836576959</v>
      </c>
      <c r="H12" s="3">
        <f t="shared" si="0"/>
        <v>28.139043554866738</v>
      </c>
      <c r="I12" s="3">
        <f t="shared" si="0"/>
        <v>39.695254731269003</v>
      </c>
      <c r="J12" s="3">
        <f t="shared" si="0"/>
        <v>55.857580293832143</v>
      </c>
      <c r="K12" s="3">
        <f t="shared" si="0"/>
        <v>87.003696566529953</v>
      </c>
      <c r="L12" s="3">
        <f t="shared" si="0"/>
        <v>120.00389439299042</v>
      </c>
    </row>
    <row r="13" spans="2:12" x14ac:dyDescent="0.35">
      <c r="E13">
        <v>110</v>
      </c>
      <c r="F13" s="3">
        <f t="shared" si="1"/>
        <v>4.2486034552258189</v>
      </c>
      <c r="G13" s="3">
        <f t="shared" si="0"/>
        <v>10.595356081353202</v>
      </c>
      <c r="H13" s="3">
        <f t="shared" si="0"/>
        <v>23.516736154771678</v>
      </c>
      <c r="I13" s="3">
        <f t="shared" si="0"/>
        <v>37.163843368439586</v>
      </c>
      <c r="J13" s="3">
        <f t="shared" si="0"/>
        <v>55.35046877826133</v>
      </c>
      <c r="K13" s="3">
        <f t="shared" si="0"/>
        <v>89.20130015486194</v>
      </c>
      <c r="L13" s="3">
        <f t="shared" si="0"/>
        <v>124.44007123297851</v>
      </c>
    </row>
    <row r="14" spans="2:12" x14ac:dyDescent="0.35">
      <c r="E14">
        <v>120</v>
      </c>
      <c r="F14" s="3">
        <f t="shared" si="1"/>
        <v>0.21663485549439088</v>
      </c>
      <c r="G14" s="3">
        <f t="shared" si="0"/>
        <v>2.4451385663581959</v>
      </c>
      <c r="H14" s="3">
        <f t="shared" si="0"/>
        <v>13.427300640085349</v>
      </c>
      <c r="I14" s="3">
        <f t="shared" si="0"/>
        <v>28.699450581388675</v>
      </c>
      <c r="J14" s="3">
        <f t="shared" si="0"/>
        <v>49.710132584213085</v>
      </c>
      <c r="K14" s="3">
        <f t="shared" si="0"/>
        <v>87.707594319450521</v>
      </c>
      <c r="L14" s="3">
        <f t="shared" si="0"/>
        <v>126.10734964667358</v>
      </c>
    </row>
    <row r="15" spans="2:12" x14ac:dyDescent="0.35">
      <c r="E15">
        <v>130</v>
      </c>
      <c r="F15" s="3">
        <f t="shared" si="1"/>
        <v>2.6353362692077553E-3</v>
      </c>
      <c r="G15" s="3">
        <f t="shared" si="0"/>
        <v>0.27513562592673679</v>
      </c>
      <c r="H15" s="3">
        <f t="shared" si="0"/>
        <v>5.7400336616098002</v>
      </c>
      <c r="I15" s="3">
        <f t="shared" si="0"/>
        <v>19.143746343228685</v>
      </c>
      <c r="J15" s="3">
        <f t="shared" si="0"/>
        <v>41.420192393673005</v>
      </c>
      <c r="K15" s="3">
        <f t="shared" si="0"/>
        <v>83.516580546287855</v>
      </c>
      <c r="L15" s="3">
        <f t="shared" si="0"/>
        <v>125.54478493242982</v>
      </c>
    </row>
    <row r="16" spans="2:12" x14ac:dyDescent="0.35">
      <c r="E16">
        <v>140</v>
      </c>
      <c r="F16" s="3">
        <f t="shared" si="1"/>
        <v>1.0660237137471995E-5</v>
      </c>
      <c r="G16" s="3">
        <f t="shared" si="0"/>
        <v>1.7826084253158569E-2</v>
      </c>
      <c r="H16" s="3">
        <f t="shared" si="0"/>
        <v>1.964142288031212</v>
      </c>
      <c r="I16" s="3">
        <f t="shared" si="0"/>
        <v>11.407809595631591</v>
      </c>
      <c r="J16" s="3">
        <f t="shared" si="0"/>
        <v>32.572112488793437</v>
      </c>
      <c r="K16" s="3">
        <f t="shared" si="0"/>
        <v>77.567827761733099</v>
      </c>
      <c r="L16" s="3">
        <f t="shared" si="0"/>
        <v>123.25351378393634</v>
      </c>
    </row>
    <row r="17" spans="5:12" x14ac:dyDescent="0.35">
      <c r="E17">
        <v>150</v>
      </c>
      <c r="F17" s="3">
        <f t="shared" si="1"/>
        <v>1.836752971939859E-8</v>
      </c>
      <c r="G17" s="3">
        <f t="shared" si="0"/>
        <v>7.5268648203064004E-4</v>
      </c>
      <c r="H17" s="3">
        <f t="shared" si="0"/>
        <v>0.5654369711649565</v>
      </c>
      <c r="I17" s="3">
        <f t="shared" si="0"/>
        <v>6.2272820493447512</v>
      </c>
      <c r="J17" s="3">
        <f t="shared" si="0"/>
        <v>24.484138509812681</v>
      </c>
      <c r="K17" s="3">
        <f t="shared" si="0"/>
        <v>70.645767428132444</v>
      </c>
      <c r="L17" s="3">
        <f t="shared" si="0"/>
        <v>119.67195121965091</v>
      </c>
    </row>
    <row r="18" spans="5:12" x14ac:dyDescent="0.35">
      <c r="E18">
        <v>160</v>
      </c>
      <c r="F18" s="3">
        <f t="shared" si="1"/>
        <v>0</v>
      </c>
      <c r="G18" s="3">
        <f t="shared" si="0"/>
        <v>2.2750583639208344E-5</v>
      </c>
      <c r="H18" s="3">
        <f t="shared" si="0"/>
        <v>0.14221408545012082</v>
      </c>
      <c r="I18" s="3">
        <f t="shared" si="0"/>
        <v>3.1738374221745858</v>
      </c>
      <c r="J18" s="3">
        <f t="shared" si="0"/>
        <v>17.763764903406809</v>
      </c>
      <c r="K18" s="3">
        <f t="shared" si="0"/>
        <v>63.351196963949974</v>
      </c>
      <c r="L18" s="3">
        <f t="shared" si="0"/>
        <v>115.16854738907512</v>
      </c>
    </row>
    <row r="19" spans="5:12" x14ac:dyDescent="0.35">
      <c r="E19">
        <v>170</v>
      </c>
      <c r="F19" s="3">
        <f t="shared" si="1"/>
        <v>0</v>
      </c>
      <c r="G19" s="3">
        <f t="shared" si="1"/>
        <v>5.2914117532054661E-7</v>
      </c>
      <c r="H19" s="3">
        <f t="shared" si="1"/>
        <v>3.2171322104090905E-2</v>
      </c>
      <c r="I19" s="3">
        <f t="shared" si="1"/>
        <v>1.5326031522988615</v>
      </c>
      <c r="J19" s="3">
        <f t="shared" si="1"/>
        <v>12.532556870041844</v>
      </c>
      <c r="K19" s="3">
        <f t="shared" si="1"/>
        <v>56.111948816308654</v>
      </c>
      <c r="L19" s="3">
        <f t="shared" si="1"/>
        <v>110.04400396224412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L19"/>
  <sheetViews>
    <sheetView workbookViewId="0">
      <selection activeCell="C14" sqref="C14"/>
    </sheetView>
  </sheetViews>
  <sheetFormatPr defaultRowHeight="14.5" x14ac:dyDescent="0.35"/>
  <cols>
    <col min="6" max="6" width="9.81640625" bestFit="1" customWidth="1"/>
    <col min="7" max="8" width="11.81640625" bestFit="1" customWidth="1"/>
  </cols>
  <sheetData>
    <row r="1" spans="2:12" x14ac:dyDescent="0.35">
      <c r="E1" t="s">
        <v>13</v>
      </c>
    </row>
    <row r="2" spans="2:12" x14ac:dyDescent="0.35">
      <c r="F2">
        <v>0.1</v>
      </c>
      <c r="G2">
        <v>0.2</v>
      </c>
      <c r="H2">
        <v>0.5</v>
      </c>
      <c r="I2">
        <v>1</v>
      </c>
      <c r="J2">
        <v>2</v>
      </c>
      <c r="K2">
        <v>5</v>
      </c>
      <c r="L2">
        <v>10</v>
      </c>
    </row>
    <row r="3" spans="2:12" x14ac:dyDescent="0.35">
      <c r="B3" t="s">
        <v>2</v>
      </c>
      <c r="C3">
        <v>0</v>
      </c>
      <c r="E3">
        <v>10</v>
      </c>
      <c r="F3" s="3">
        <f>BlackCallRho($E3,$C$3,$C$4,$C$5,F$2,$C$6,$C$8)</f>
        <v>5.1960038756018984E-290</v>
      </c>
      <c r="G3" s="3">
        <f t="shared" ref="G3:L18" si="0">BlackCallRho($E3,$C$3,$C$4,$C$5,G$2,$C$6,$C$8)</f>
        <v>1.196367936794898E-145</v>
      </c>
      <c r="H3" s="3">
        <f t="shared" si="0"/>
        <v>1.0446660001544304E-58</v>
      </c>
      <c r="I3" s="3">
        <f t="shared" si="0"/>
        <v>1.7714257532059172E-29</v>
      </c>
      <c r="J3" s="3">
        <f t="shared" si="0"/>
        <v>1.2083055323403445E-14</v>
      </c>
      <c r="K3" s="3">
        <f t="shared" si="0"/>
        <v>1.9430060446419993E-5</v>
      </c>
      <c r="L3" s="3">
        <f t="shared" si="0"/>
        <v>3.7959058047444295E-2</v>
      </c>
    </row>
    <row r="4" spans="2:12" x14ac:dyDescent="0.35">
      <c r="B4" t="s">
        <v>3</v>
      </c>
      <c r="C4">
        <v>0</v>
      </c>
      <c r="E4">
        <v>20</v>
      </c>
      <c r="F4" s="3">
        <f t="shared" ref="F4:L19" si="1">BlackCallRho($E4,$C$3,$C$4,$C$5,F$2,$C$6,$C$8)</f>
        <v>1.6817289279528335E-142</v>
      </c>
      <c r="G4" s="3">
        <f t="shared" si="0"/>
        <v>9.6647043908028907E-72</v>
      </c>
      <c r="H4" s="3">
        <f t="shared" si="0"/>
        <v>5.8008215001146438E-29</v>
      </c>
      <c r="I4" s="3">
        <f t="shared" si="0"/>
        <v>1.8624027259700502E-14</v>
      </c>
      <c r="J4" s="3">
        <f t="shared" si="0"/>
        <v>5.4884172475610416E-7</v>
      </c>
      <c r="K4" s="3">
        <f t="shared" si="0"/>
        <v>3.3037256312787158E-2</v>
      </c>
      <c r="L4" s="3">
        <f t="shared" si="0"/>
        <v>2.111722912668569</v>
      </c>
    </row>
    <row r="5" spans="2:12" x14ac:dyDescent="0.35">
      <c r="B5" t="s">
        <v>4</v>
      </c>
      <c r="C5">
        <v>0.2</v>
      </c>
      <c r="E5">
        <v>30</v>
      </c>
      <c r="F5" s="3">
        <f t="shared" si="1"/>
        <v>2.3242705148823882E-80</v>
      </c>
      <c r="G5" s="3">
        <f t="shared" si="0"/>
        <v>1.4503367028208253E-40</v>
      </c>
      <c r="H5" s="3">
        <f t="shared" si="0"/>
        <v>2.289079322674146E-16</v>
      </c>
      <c r="I5" s="3">
        <f t="shared" si="0"/>
        <v>4.682769188575278E-8</v>
      </c>
      <c r="J5" s="3">
        <f t="shared" si="0"/>
        <v>1.0919878761126184E-3</v>
      </c>
      <c r="K5" s="3">
        <f t="shared" si="0"/>
        <v>0.8870259198376188</v>
      </c>
      <c r="L5" s="3">
        <f t="shared" si="0"/>
        <v>13.213611559901027</v>
      </c>
    </row>
    <row r="6" spans="2:12" x14ac:dyDescent="0.35">
      <c r="B6" t="s">
        <v>1</v>
      </c>
      <c r="C6">
        <v>100</v>
      </c>
      <c r="E6">
        <v>40</v>
      </c>
      <c r="F6" s="3">
        <f t="shared" si="1"/>
        <v>4.5618832132108126E-47</v>
      </c>
      <c r="G6" s="3">
        <f t="shared" si="0"/>
        <v>7.8858787700959926E-24</v>
      </c>
      <c r="H6" s="3">
        <f t="shared" si="0"/>
        <v>1.4397333160028508E-9</v>
      </c>
      <c r="I6" s="3">
        <f t="shared" si="0"/>
        <v>1.4242402047183629E-4</v>
      </c>
      <c r="J6" s="3">
        <f t="shared" si="0"/>
        <v>7.2223050157171981E-2</v>
      </c>
      <c r="K6" s="3">
        <f t="shared" si="0"/>
        <v>5.7641595492349813</v>
      </c>
      <c r="L6" s="3">
        <f t="shared" si="0"/>
        <v>38.781014258933986</v>
      </c>
    </row>
    <row r="7" spans="2:12" x14ac:dyDescent="0.35">
      <c r="E7">
        <v>50</v>
      </c>
      <c r="F7" s="3">
        <f t="shared" si="1"/>
        <v>2.105456942279947E-27</v>
      </c>
      <c r="G7" s="3">
        <f t="shared" si="0"/>
        <v>6.4744782224611679E-14</v>
      </c>
      <c r="H7" s="3">
        <f t="shared" si="0"/>
        <v>1.6566315415308059E-5</v>
      </c>
      <c r="I7" s="3">
        <f t="shared" si="0"/>
        <v>1.8141839996880377E-2</v>
      </c>
      <c r="J7" s="3">
        <f t="shared" si="0"/>
        <v>0.9540131659633091</v>
      </c>
      <c r="K7" s="3">
        <f t="shared" si="0"/>
        <v>19.035197825045813</v>
      </c>
      <c r="L7" s="3">
        <f t="shared" si="0"/>
        <v>78.947080163558326</v>
      </c>
    </row>
    <row r="8" spans="2:12" x14ac:dyDescent="0.35">
      <c r="B8" t="s">
        <v>12</v>
      </c>
      <c r="C8">
        <v>1E-4</v>
      </c>
      <c r="E8">
        <v>60</v>
      </c>
      <c r="F8" s="3">
        <f t="shared" si="1"/>
        <v>2.5627387878172386E-15</v>
      </c>
      <c r="G8" s="3">
        <f t="shared" si="0"/>
        <v>8.6168429741691512E-8</v>
      </c>
      <c r="H8" s="3">
        <f t="shared" si="0"/>
        <v>5.767306722424803E-3</v>
      </c>
      <c r="I8" s="3">
        <f t="shared" si="0"/>
        <v>0.39756826354542252</v>
      </c>
      <c r="J8" s="3">
        <f t="shared" si="0"/>
        <v>5.1479305232729473</v>
      </c>
      <c r="K8" s="3">
        <f t="shared" si="0"/>
        <v>42.996708777991444</v>
      </c>
      <c r="L8" s="3">
        <f t="shared" si="0"/>
        <v>130.52476606639996</v>
      </c>
    </row>
    <row r="9" spans="2:12" x14ac:dyDescent="0.35">
      <c r="E9">
        <v>70</v>
      </c>
      <c r="F9" s="3">
        <f t="shared" si="1"/>
        <v>7.0921569313947736E-8</v>
      </c>
      <c r="G9" s="3">
        <f t="shared" si="0"/>
        <v>5.5194031505288147E-4</v>
      </c>
      <c r="H9" s="3">
        <f t="shared" si="0"/>
        <v>0.23800680812471539</v>
      </c>
      <c r="I9" s="3">
        <f t="shared" si="0"/>
        <v>2.9824806160445858</v>
      </c>
      <c r="J9" s="3">
        <f t="shared" si="0"/>
        <v>16.077863125176783</v>
      </c>
      <c r="K9" s="3">
        <f t="shared" si="0"/>
        <v>76.795114201106955</v>
      </c>
      <c r="L9" s="3">
        <f t="shared" si="0"/>
        <v>189.3807911784684</v>
      </c>
    </row>
    <row r="10" spans="2:12" x14ac:dyDescent="0.35">
      <c r="E10">
        <v>80</v>
      </c>
      <c r="F10" s="3">
        <f t="shared" si="1"/>
        <v>1.8554598910214119E-3</v>
      </c>
      <c r="G10" s="3">
        <f t="shared" si="0"/>
        <v>0.11099768946342889</v>
      </c>
      <c r="H10" s="3">
        <f t="shared" si="0"/>
        <v>2.4808743311577341</v>
      </c>
      <c r="I10" s="3">
        <f t="shared" si="0"/>
        <v>11.204623547924619</v>
      </c>
      <c r="J10" s="3">
        <f t="shared" si="0"/>
        <v>35.218838992183699</v>
      </c>
      <c r="K10" s="3">
        <f t="shared" si="0"/>
        <v>117.48588008960058</v>
      </c>
      <c r="L10" s="3">
        <f t="shared" si="0"/>
        <v>251.73216921145601</v>
      </c>
    </row>
    <row r="11" spans="2:12" x14ac:dyDescent="0.35">
      <c r="E11">
        <v>90</v>
      </c>
      <c r="F11" s="3">
        <f t="shared" si="1"/>
        <v>0.44799310433205064</v>
      </c>
      <c r="G11" s="3">
        <f t="shared" si="0"/>
        <v>2.214476643916663</v>
      </c>
      <c r="H11" s="3">
        <f t="shared" si="0"/>
        <v>10.366478581882443</v>
      </c>
      <c r="I11" s="3">
        <f t="shared" si="0"/>
        <v>26.539433016206093</v>
      </c>
      <c r="J11" s="3">
        <f t="shared" si="0"/>
        <v>60.730300848006458</v>
      </c>
      <c r="K11" s="3">
        <f t="shared" si="0"/>
        <v>161.52261500989695</v>
      </c>
      <c r="L11" s="3">
        <f t="shared" si="0"/>
        <v>314.61264542423703</v>
      </c>
    </row>
    <row r="12" spans="2:12" x14ac:dyDescent="0.35">
      <c r="E12">
        <v>100</v>
      </c>
      <c r="F12" s="3">
        <f t="shared" si="1"/>
        <v>4.873864395302796</v>
      </c>
      <c r="G12" s="3">
        <f t="shared" si="0"/>
        <v>9.6432940744461959</v>
      </c>
      <c r="H12" s="3">
        <f t="shared" si="0"/>
        <v>23.590700477029714</v>
      </c>
      <c r="I12" s="3">
        <f t="shared" si="0"/>
        <v>46.017215852831583</v>
      </c>
      <c r="J12" s="3">
        <f t="shared" si="0"/>
        <v>88.753706197000071</v>
      </c>
      <c r="K12" s="3">
        <f t="shared" si="0"/>
        <v>205.7657998244089</v>
      </c>
      <c r="L12" s="3">
        <f t="shared" si="0"/>
        <v>375.91472967053005</v>
      </c>
    </row>
    <row r="13" spans="2:12" x14ac:dyDescent="0.35">
      <c r="E13">
        <v>110</v>
      </c>
      <c r="F13" s="3">
        <f t="shared" si="1"/>
        <v>9.2994257571721306</v>
      </c>
      <c r="G13" s="3">
        <f t="shared" si="0"/>
        <v>16.926881524721438</v>
      </c>
      <c r="H13" s="3">
        <f t="shared" si="0"/>
        <v>36.341175007033044</v>
      </c>
      <c r="I13" s="3">
        <f t="shared" si="0"/>
        <v>64.674629752508039</v>
      </c>
      <c r="J13" s="3">
        <f t="shared" si="0"/>
        <v>115.50383545863241</v>
      </c>
      <c r="K13" s="3">
        <f t="shared" si="0"/>
        <v>247.90820660953727</v>
      </c>
      <c r="L13" s="3">
        <f t="shared" si="0"/>
        <v>434.26365007535492</v>
      </c>
    </row>
    <row r="14" spans="2:12" x14ac:dyDescent="0.35">
      <c r="E14">
        <v>120</v>
      </c>
      <c r="F14" s="3">
        <f t="shared" si="1"/>
        <v>9.9782182066299185</v>
      </c>
      <c r="G14" s="3">
        <f t="shared" si="0"/>
        <v>19.538146691768787</v>
      </c>
      <c r="H14" s="3">
        <f t="shared" si="0"/>
        <v>44.424124545159316</v>
      </c>
      <c r="I14" s="3">
        <f t="shared" si="0"/>
        <v>79.149162514635663</v>
      </c>
      <c r="J14" s="3">
        <f t="shared" si="0"/>
        <v>138.5164112506132</v>
      </c>
      <c r="K14" s="3">
        <f t="shared" si="0"/>
        <v>286.5116264633549</v>
      </c>
      <c r="L14" s="3">
        <f t="shared" si="0"/>
        <v>488.8500641371607</v>
      </c>
    </row>
    <row r="15" spans="2:12" x14ac:dyDescent="0.35">
      <c r="E15">
        <v>130</v>
      </c>
      <c r="F15" s="3">
        <f t="shared" si="1"/>
        <v>9.9998078492902209</v>
      </c>
      <c r="G15" s="3">
        <f t="shared" si="0"/>
        <v>19.961303937208186</v>
      </c>
      <c r="H15" s="3">
        <f t="shared" si="0"/>
        <v>48.141376892800736</v>
      </c>
      <c r="I15" s="3">
        <f t="shared" si="0"/>
        <v>88.720959640564701</v>
      </c>
      <c r="J15" s="3">
        <f t="shared" si="0"/>
        <v>156.82357922681689</v>
      </c>
      <c r="K15" s="3">
        <f t="shared" si="0"/>
        <v>320.85948759224436</v>
      </c>
      <c r="L15" s="3">
        <f t="shared" si="0"/>
        <v>539.27453374857487</v>
      </c>
    </row>
    <row r="16" spans="2:12" x14ac:dyDescent="0.35">
      <c r="E16">
        <v>140</v>
      </c>
      <c r="F16" s="3">
        <f t="shared" si="1"/>
        <v>9.9999993834387624</v>
      </c>
      <c r="G16" s="3">
        <f t="shared" si="0"/>
        <v>19.99798519349838</v>
      </c>
      <c r="H16" s="3">
        <f t="shared" si="0"/>
        <v>49.475726546752696</v>
      </c>
      <c r="I16" s="3">
        <f t="shared" si="0"/>
        <v>94.321642176282694</v>
      </c>
      <c r="J16" s="3">
        <f t="shared" si="0"/>
        <v>170.54477875767304</v>
      </c>
      <c r="K16" s="3">
        <f t="shared" si="0"/>
        <v>350.75836277908223</v>
      </c>
      <c r="L16" s="3">
        <f t="shared" si="0"/>
        <v>585.42084284788132</v>
      </c>
    </row>
    <row r="17" spans="5:12" x14ac:dyDescent="0.35">
      <c r="E17">
        <v>150</v>
      </c>
      <c r="F17" s="3">
        <f t="shared" si="1"/>
        <v>9.9999999990885158</v>
      </c>
      <c r="G17" s="3">
        <f t="shared" si="0"/>
        <v>19.999928280292067</v>
      </c>
      <c r="H17" s="3">
        <f t="shared" si="0"/>
        <v>49.870795741924212</v>
      </c>
      <c r="I17" s="3">
        <f t="shared" si="0"/>
        <v>97.303045929990617</v>
      </c>
      <c r="J17" s="3">
        <f t="shared" si="0"/>
        <v>180.36823875160479</v>
      </c>
      <c r="K17" s="3">
        <f t="shared" si="0"/>
        <v>376.35468989321907</v>
      </c>
      <c r="L17" s="3">
        <f t="shared" si="0"/>
        <v>627.35969124869223</v>
      </c>
    </row>
    <row r="18" spans="5:12" x14ac:dyDescent="0.35">
      <c r="E18">
        <v>160</v>
      </c>
      <c r="F18" s="3">
        <f t="shared" si="1"/>
        <v>10.000000000189857</v>
      </c>
      <c r="G18" s="3">
        <f t="shared" si="0"/>
        <v>19.999998113604534</v>
      </c>
      <c r="H18" s="3">
        <f t="shared" si="0"/>
        <v>49.971423179258068</v>
      </c>
      <c r="I18" s="3">
        <f t="shared" si="0"/>
        <v>98.777610143088168</v>
      </c>
      <c r="J18" s="3">
        <f t="shared" si="0"/>
        <v>187.15624682521081</v>
      </c>
      <c r="K18" s="3">
        <f t="shared" si="0"/>
        <v>397.99075065424461</v>
      </c>
      <c r="L18" s="3">
        <f t="shared" si="0"/>
        <v>665.27858694747977</v>
      </c>
    </row>
    <row r="19" spans="5:12" x14ac:dyDescent="0.35">
      <c r="E19">
        <v>170</v>
      </c>
      <c r="F19" s="3">
        <f t="shared" si="1"/>
        <v>10.000000000189857</v>
      </c>
      <c r="G19" s="3">
        <f t="shared" si="1"/>
        <v>19.999999962081461</v>
      </c>
      <c r="H19" s="3">
        <f t="shared" si="1"/>
        <v>49.994201046885678</v>
      </c>
      <c r="I19" s="3">
        <f t="shared" si="1"/>
        <v>99.466219023227609</v>
      </c>
      <c r="J19" s="3">
        <f t="shared" si="1"/>
        <v>191.71941158376171</v>
      </c>
      <c r="K19" s="3">
        <f t="shared" si="1"/>
        <v>416.10230330483944</v>
      </c>
      <c r="L19" s="3">
        <f t="shared" si="1"/>
        <v>699.43240775707238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L19"/>
  <sheetViews>
    <sheetView workbookViewId="0">
      <selection activeCell="D15" sqref="D15"/>
    </sheetView>
  </sheetViews>
  <sheetFormatPr defaultRowHeight="14.5" x14ac:dyDescent="0.35"/>
  <cols>
    <col min="6" max="6" width="9.81640625" bestFit="1" customWidth="1"/>
    <col min="7" max="8" width="11.81640625" bestFit="1" customWidth="1"/>
  </cols>
  <sheetData>
    <row r="1" spans="2:12" x14ac:dyDescent="0.35">
      <c r="E1" t="s">
        <v>13</v>
      </c>
    </row>
    <row r="2" spans="2:12" x14ac:dyDescent="0.35">
      <c r="F2">
        <v>0.1</v>
      </c>
      <c r="G2">
        <v>0.2</v>
      </c>
      <c r="H2">
        <v>0.5</v>
      </c>
      <c r="I2">
        <v>1</v>
      </c>
      <c r="J2">
        <v>2</v>
      </c>
      <c r="K2">
        <v>5</v>
      </c>
      <c r="L2">
        <v>10</v>
      </c>
    </row>
    <row r="3" spans="2:12" x14ac:dyDescent="0.35">
      <c r="B3" t="s">
        <v>2</v>
      </c>
      <c r="C3">
        <v>0</v>
      </c>
      <c r="E3">
        <v>10</v>
      </c>
      <c r="F3" s="3">
        <f>BlackCallTheta($E3,$C$3,$C$4,$C$5,F$2,$C$6,$C$8)</f>
        <v>-2.1905341774075281E-288</v>
      </c>
      <c r="G3" s="3">
        <f t="shared" ref="G3:L18" si="0">BlackCallTheta($E3,$C$3,$C$4,$C$5,G$2,$C$6,$C$8)</f>
        <v>-1.5919250172381212E-144</v>
      </c>
      <c r="H3" s="3">
        <f t="shared" si="0"/>
        <v>-2.3930910736877085E-58</v>
      </c>
      <c r="I3" s="3">
        <f t="shared" si="0"/>
        <v>-1.0326840582158593E-29</v>
      </c>
      <c r="J3" s="3">
        <f t="shared" si="0"/>
        <v>-1.7927143333701139E-15</v>
      </c>
      <c r="K3" s="3">
        <f t="shared" si="0"/>
        <v>-4.8196964787015389E-7</v>
      </c>
      <c r="L3" s="3">
        <f t="shared" si="0"/>
        <v>-2.5114282950846906E-4</v>
      </c>
    </row>
    <row r="4" spans="2:12" x14ac:dyDescent="0.35">
      <c r="B4" t="s">
        <v>3</v>
      </c>
      <c r="C4">
        <v>0</v>
      </c>
      <c r="E4">
        <v>20</v>
      </c>
      <c r="F4" s="3">
        <f t="shared" ref="F4:L19" si="1">BlackCallTheta($E4,$C$3,$C$4,$C$5,F$2,$C$6,$C$8)</f>
        <v>-5.7972320967752144E-141</v>
      </c>
      <c r="G4" s="3">
        <f t="shared" si="0"/>
        <v>-9.3914662306950858E-71</v>
      </c>
      <c r="H4" s="3">
        <f t="shared" si="0"/>
        <v>-9.4040684392422925E-29</v>
      </c>
      <c r="I4" s="3">
        <f t="shared" si="0"/>
        <v>-7.6854853315251618E-15</v>
      </c>
      <c r="J4" s="3">
        <f t="shared" si="0"/>
        <v>-5.8134874699180041E-8</v>
      </c>
      <c r="K4" s="3">
        <f t="shared" si="0"/>
        <v>-5.9931451810166583E-4</v>
      </c>
      <c r="L4" s="3">
        <f t="shared" si="0"/>
        <v>-1.0531457425681789E-2</v>
      </c>
    </row>
    <row r="5" spans="2:12" x14ac:dyDescent="0.35">
      <c r="B5" t="s">
        <v>4</v>
      </c>
      <c r="C5">
        <v>0.2</v>
      </c>
      <c r="E5">
        <v>30</v>
      </c>
      <c r="F5" s="3">
        <f t="shared" si="1"/>
        <v>-6.4280383807527905E-79</v>
      </c>
      <c r="G5" s="3">
        <f t="shared" si="0"/>
        <v>-1.0764801437185159E-39</v>
      </c>
      <c r="H5" s="3">
        <f t="shared" si="0"/>
        <v>-2.8055882715432163E-16</v>
      </c>
      <c r="I5" s="3">
        <f t="shared" si="0"/>
        <v>-1.4680451007206892E-8</v>
      </c>
      <c r="J5" s="3">
        <f t="shared" si="0"/>
        <v>-8.8902964908136488E-5</v>
      </c>
      <c r="K5" s="3">
        <f t="shared" si="0"/>
        <v>-1.2713215294668512E-2</v>
      </c>
      <c r="L5" s="3">
        <f t="shared" si="0"/>
        <v>-5.3679504280479406E-2</v>
      </c>
    </row>
    <row r="6" spans="2:12" x14ac:dyDescent="0.35">
      <c r="B6" t="s">
        <v>1</v>
      </c>
      <c r="C6">
        <v>100</v>
      </c>
      <c r="E6">
        <v>40</v>
      </c>
      <c r="F6" s="3">
        <f t="shared" si="1"/>
        <v>-9.9908445565476969E-46</v>
      </c>
      <c r="G6" s="3">
        <f t="shared" si="0"/>
        <v>-4.5188905700374796E-23</v>
      </c>
      <c r="H6" s="3">
        <f t="shared" si="0"/>
        <v>-1.3606023540073178E-9</v>
      </c>
      <c r="I6" s="3">
        <f t="shared" si="0"/>
        <v>-3.4726610605059806E-5</v>
      </c>
      <c r="J6" s="3">
        <f t="shared" si="0"/>
        <v>-4.6459127572926612E-3</v>
      </c>
      <c r="K6" s="3">
        <f t="shared" si="0"/>
        <v>-6.7451096081583284E-2</v>
      </c>
      <c r="L6" s="3">
        <f t="shared" si="0"/>
        <v>-0.13286430799563931</v>
      </c>
    </row>
    <row r="7" spans="2:12" x14ac:dyDescent="0.35">
      <c r="E7">
        <v>50</v>
      </c>
      <c r="F7" s="3">
        <f t="shared" si="1"/>
        <v>-3.5810429355141861E-26</v>
      </c>
      <c r="G7" s="3">
        <f t="shared" si="0"/>
        <v>-2.8449979996445293E-13</v>
      </c>
      <c r="H7" s="3">
        <f t="shared" si="0"/>
        <v>-1.2073751161536836E-5</v>
      </c>
      <c r="I7" s="3">
        <f t="shared" si="0"/>
        <v>-3.4581831647822981E-3</v>
      </c>
      <c r="J7" s="3">
        <f t="shared" si="0"/>
        <v>-4.9019286278081942E-2</v>
      </c>
      <c r="K7" s="3">
        <f t="shared" si="0"/>
        <v>-0.18508641341064003</v>
      </c>
      <c r="L7" s="3">
        <f t="shared" si="0"/>
        <v>-0.23271673894154077</v>
      </c>
    </row>
    <row r="8" spans="2:12" x14ac:dyDescent="0.35">
      <c r="B8" t="s">
        <v>12</v>
      </c>
      <c r="C8">
        <v>1E-4</v>
      </c>
      <c r="E8">
        <v>60</v>
      </c>
      <c r="F8" s="3">
        <f t="shared" si="1"/>
        <v>-3.2811427849050219E-14</v>
      </c>
      <c r="G8" s="3">
        <f t="shared" si="0"/>
        <v>-2.8406256904577437E-7</v>
      </c>
      <c r="H8" s="3">
        <f t="shared" si="0"/>
        <v>-3.1986948235580566E-3</v>
      </c>
      <c r="I8" s="3">
        <f t="shared" si="0"/>
        <v>-5.8904575870634412E-2</v>
      </c>
      <c r="J8" s="3">
        <f t="shared" si="0"/>
        <v>-0.21173756796388776</v>
      </c>
      <c r="K8" s="3">
        <f t="shared" si="0"/>
        <v>-0.35099240032199219</v>
      </c>
      <c r="L8" s="3">
        <f t="shared" si="0"/>
        <v>-0.33541611544229966</v>
      </c>
    </row>
    <row r="9" spans="2:12" x14ac:dyDescent="0.35">
      <c r="E9">
        <v>70</v>
      </c>
      <c r="F9" s="3">
        <f t="shared" si="1"/>
        <v>-6.4962625520228115E-7</v>
      </c>
      <c r="G9" s="3">
        <f t="shared" si="0"/>
        <v>-1.3108949688028016E-3</v>
      </c>
      <c r="H9" s="3">
        <f t="shared" si="0"/>
        <v>-9.783648512550272E-2</v>
      </c>
      <c r="I9" s="3">
        <f t="shared" si="0"/>
        <v>-0.33854269900671086</v>
      </c>
      <c r="J9" s="3">
        <f t="shared" si="0"/>
        <v>-0.52754286366418768</v>
      </c>
      <c r="K9" s="3">
        <f t="shared" si="0"/>
        <v>-0.52961893663105997</v>
      </c>
      <c r="L9" s="3">
        <f t="shared" si="0"/>
        <v>-0.42820640117291475</v>
      </c>
    </row>
    <row r="10" spans="2:12" x14ac:dyDescent="0.35">
      <c r="E10">
        <v>80</v>
      </c>
      <c r="F10" s="3">
        <f t="shared" si="1"/>
        <v>-1.113933376546423E-2</v>
      </c>
      <c r="G10" s="3">
        <f t="shared" si="0"/>
        <v>-0.17727170713724774</v>
      </c>
      <c r="H10" s="3">
        <f t="shared" si="0"/>
        <v>-0.72477127008363507</v>
      </c>
      <c r="I10" s="3">
        <f t="shared" si="0"/>
        <v>-0.95266560415363521</v>
      </c>
      <c r="J10" s="3">
        <f t="shared" si="0"/>
        <v>-0.91498505700782218</v>
      </c>
      <c r="K10" s="3">
        <f t="shared" si="0"/>
        <v>-0.68710376414315988</v>
      </c>
      <c r="L10" s="3">
        <f t="shared" si="0"/>
        <v>-0.50428998477514142</v>
      </c>
    </row>
    <row r="11" spans="2:12" x14ac:dyDescent="0.35">
      <c r="E11">
        <v>90</v>
      </c>
      <c r="F11" s="3">
        <f t="shared" si="1"/>
        <v>-1.4926648111555918</v>
      </c>
      <c r="G11" s="3">
        <f t="shared" si="0"/>
        <v>-2.1121100028706485</v>
      </c>
      <c r="H11" s="3">
        <f t="shared" si="0"/>
        <v>-2.0226211167284625</v>
      </c>
      <c r="I11" s="3">
        <f t="shared" si="0"/>
        <v>-1.6389846849040879</v>
      </c>
      <c r="J11" s="3">
        <f t="shared" si="0"/>
        <v>-1.2359949925322411</v>
      </c>
      <c r="K11" s="3">
        <f t="shared" si="0"/>
        <v>-0.80280217088279926</v>
      </c>
      <c r="L11" s="3">
        <f t="shared" si="0"/>
        <v>-0.56138586566945037</v>
      </c>
    </row>
    <row r="12" spans="2:12" x14ac:dyDescent="0.35">
      <c r="E12">
        <v>100</v>
      </c>
      <c r="F12" s="3">
        <f t="shared" si="1"/>
        <v>-6.3062567125227176</v>
      </c>
      <c r="G12" s="3">
        <f t="shared" si="0"/>
        <v>-4.456410444526604</v>
      </c>
      <c r="H12" s="3">
        <f t="shared" si="0"/>
        <v>-2.8140457688508036</v>
      </c>
      <c r="I12" s="3">
        <f t="shared" si="0"/>
        <v>-1.9848128550981059</v>
      </c>
      <c r="J12" s="3">
        <f t="shared" si="0"/>
        <v>-1.3964573135627489</v>
      </c>
      <c r="K12" s="3">
        <f t="shared" si="0"/>
        <v>-0.87004153515479743</v>
      </c>
      <c r="L12" s="3">
        <f t="shared" si="0"/>
        <v>-0.60002112428847454</v>
      </c>
    </row>
    <row r="13" spans="2:12" x14ac:dyDescent="0.35">
      <c r="E13">
        <v>110</v>
      </c>
      <c r="F13" s="3">
        <f t="shared" si="1"/>
        <v>-2.1236269202873359</v>
      </c>
      <c r="G13" s="3">
        <f t="shared" si="0"/>
        <v>-2.6487949812459277</v>
      </c>
      <c r="H13" s="3">
        <f t="shared" si="0"/>
        <v>-2.3517384965199284</v>
      </c>
      <c r="I13" s="3">
        <f t="shared" si="0"/>
        <v>-1.8582285889845451</v>
      </c>
      <c r="J13" s="3">
        <f t="shared" si="0"/>
        <v>-1.3837774189617846</v>
      </c>
      <c r="K13" s="3">
        <f t="shared" si="0"/>
        <v>-0.89201748906475586</v>
      </c>
      <c r="L13" s="3">
        <f t="shared" si="0"/>
        <v>-0.62220203611573766</v>
      </c>
    </row>
    <row r="14" spans="2:12" x14ac:dyDescent="0.35">
      <c r="E14">
        <v>120</v>
      </c>
      <c r="F14" s="3">
        <f t="shared" si="1"/>
        <v>-0.10811939844757035</v>
      </c>
      <c r="G14" s="3">
        <f t="shared" si="0"/>
        <v>-0.61104355649987951</v>
      </c>
      <c r="H14" s="3">
        <f t="shared" si="0"/>
        <v>-1.3426860676091223</v>
      </c>
      <c r="I14" s="3">
        <f t="shared" si="0"/>
        <v>-1.4349790580148181</v>
      </c>
      <c r="J14" s="3">
        <f t="shared" si="0"/>
        <v>-1.242762762529992</v>
      </c>
      <c r="K14" s="3">
        <f t="shared" si="0"/>
        <v>-0.87707983862372885</v>
      </c>
      <c r="L14" s="3">
        <f t="shared" si="0"/>
        <v>-0.63053836036885968</v>
      </c>
    </row>
    <row r="15" spans="2:12" x14ac:dyDescent="0.35">
      <c r="E15">
        <v>130</v>
      </c>
      <c r="F15" s="3">
        <f t="shared" si="1"/>
        <v>-1.3123263897796278E-3</v>
      </c>
      <c r="G15" s="3">
        <f t="shared" si="0"/>
        <v>-6.871842151312535E-2</v>
      </c>
      <c r="H15" s="3">
        <f t="shared" si="0"/>
        <v>-0.57393338993350085</v>
      </c>
      <c r="I15" s="3">
        <f t="shared" si="0"/>
        <v>-0.95717039389597858</v>
      </c>
      <c r="J15" s="3">
        <f t="shared" si="0"/>
        <v>-1.0355069568035447</v>
      </c>
      <c r="K15" s="3">
        <f t="shared" si="0"/>
        <v>-0.83516878749634316</v>
      </c>
      <c r="L15" s="3">
        <f t="shared" si="0"/>
        <v>-0.62772539685340689</v>
      </c>
    </row>
    <row r="16" spans="2:12" x14ac:dyDescent="0.35">
      <c r="E16">
        <v>140</v>
      </c>
      <c r="F16" s="3">
        <f t="shared" si="1"/>
        <v>-5.2937210170966864E-6</v>
      </c>
      <c r="G16" s="3">
        <f t="shared" si="0"/>
        <v>-4.4491720174733018E-3</v>
      </c>
      <c r="H16" s="3">
        <f t="shared" si="0"/>
        <v>-0.19636838434422543</v>
      </c>
      <c r="I16" s="3">
        <f t="shared" si="0"/>
        <v>-0.57036453373626728</v>
      </c>
      <c r="J16" s="3">
        <f t="shared" si="0"/>
        <v>-0.81429886826356324</v>
      </c>
      <c r="K16" s="3">
        <f t="shared" si="0"/>
        <v>-0.77568020238061308</v>
      </c>
      <c r="L16" s="3">
        <f t="shared" si="0"/>
        <v>-0.61626885116794483</v>
      </c>
    </row>
    <row r="17" spans="5:12" x14ac:dyDescent="0.35">
      <c r="E17">
        <v>150</v>
      </c>
      <c r="F17" s="3">
        <f t="shared" si="1"/>
        <v>-8.9883656073652674E-9</v>
      </c>
      <c r="G17" s="3">
        <f t="shared" si="0"/>
        <v>-1.8770951015767423E-4</v>
      </c>
      <c r="H17" s="3">
        <f t="shared" si="0"/>
        <v>-5.6523199845059935E-2</v>
      </c>
      <c r="I17" s="3">
        <f t="shared" si="0"/>
        <v>-0.31133991281961926</v>
      </c>
      <c r="J17" s="3">
        <f t="shared" si="0"/>
        <v>-0.61209559529373792</v>
      </c>
      <c r="K17" s="3">
        <f t="shared" si="0"/>
        <v>-0.70645853615047827</v>
      </c>
      <c r="L17" s="3">
        <f t="shared" si="0"/>
        <v>-0.59836081756969861</v>
      </c>
    </row>
    <row r="18" spans="5:12" x14ac:dyDescent="0.35">
      <c r="E18">
        <v>160</v>
      </c>
      <c r="F18" s="3">
        <f t="shared" si="1"/>
        <v>3.5527136788005009E-11</v>
      </c>
      <c r="G18" s="3">
        <f t="shared" si="0"/>
        <v>-5.6686033644837153E-6</v>
      </c>
      <c r="H18" s="3">
        <f t="shared" si="0"/>
        <v>-1.4214218175823135E-2</v>
      </c>
      <c r="I18" s="3">
        <f t="shared" si="0"/>
        <v>-0.15867387705981173</v>
      </c>
      <c r="J18" s="3">
        <f t="shared" si="0"/>
        <v>-0.44408447063659651</v>
      </c>
      <c r="K18" s="3">
        <f t="shared" si="0"/>
        <v>-0.63351185644933139</v>
      </c>
      <c r="L18" s="3">
        <f t="shared" si="0"/>
        <v>-0.57584356277118331</v>
      </c>
    </row>
    <row r="19" spans="5:12" x14ac:dyDescent="0.35">
      <c r="E19">
        <v>170</v>
      </c>
      <c r="F19" s="3">
        <f t="shared" si="1"/>
        <v>0</v>
      </c>
      <c r="G19" s="3">
        <f t="shared" si="1"/>
        <v>-1.3173462320992257E-7</v>
      </c>
      <c r="H19" s="3">
        <f t="shared" si="1"/>
        <v>-3.2150090589766478E-3</v>
      </c>
      <c r="I19" s="3">
        <f t="shared" si="1"/>
        <v>-7.6618517255155894E-2</v>
      </c>
      <c r="J19" s="3">
        <f t="shared" si="1"/>
        <v>-0.31330411040642048</v>
      </c>
      <c r="K19" s="3">
        <f t="shared" si="1"/>
        <v>-0.56111854107143699</v>
      </c>
      <c r="L19" s="3">
        <f t="shared" si="1"/>
        <v>-0.550220607067331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Price</vt:lpstr>
      <vt:lpstr>Delta</vt:lpstr>
      <vt:lpstr>Gamma</vt:lpstr>
      <vt:lpstr>Vega</vt:lpstr>
      <vt:lpstr>Rho</vt:lpstr>
      <vt:lpstr>Theta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2018-01-27T07:25:31Z</dcterms:modified>
</cp:coreProperties>
</file>