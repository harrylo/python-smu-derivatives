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filterPrivacy="1" codeName="ThisWorkbook"/>
  <bookViews>
    <workbookView xWindow="0" yWindow="0" windowWidth="22260" windowHeight="12650"/>
  </bookViews>
  <sheets>
    <sheet name="BL" sheetId="17" r:id="rId1"/>
    <sheet name="implied vol" sheetId="9" r:id="rId2"/>
    <sheet name="Bachelier" sheetId="16" r:id="rId3"/>
    <sheet name="Delta" sheetId="2" r:id="rId4"/>
    <sheet name="Gamma" sheetId="3" r:id="rId5"/>
    <sheet name="Vega" sheetId="4" r:id="rId6"/>
    <sheet name="Rho" sheetId="6" r:id="rId7"/>
    <sheet name="Theta" sheetId="5" r:id="rId8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7" l="1"/>
  <c r="C13" i="17"/>
  <c r="C12" i="17"/>
  <c r="H33" i="17"/>
  <c r="H34" i="17"/>
  <c r="H13" i="17"/>
  <c r="H7" i="17"/>
  <c r="H6" i="17"/>
  <c r="H5" i="17"/>
  <c r="H4" i="17"/>
  <c r="H3" i="17"/>
  <c r="C9" i="17"/>
  <c r="G5" i="17"/>
  <c r="G3" i="17"/>
  <c r="D13" i="17" l="1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H23" i="17"/>
  <c r="H24" i="17"/>
  <c r="H25" i="17"/>
  <c r="H26" i="17"/>
  <c r="H27" i="17"/>
  <c r="H28" i="17"/>
  <c r="H29" i="17"/>
  <c r="H30" i="17"/>
  <c r="H31" i="17"/>
  <c r="H32" i="17"/>
  <c r="C11" i="17"/>
  <c r="L43" i="17"/>
  <c r="L51" i="17"/>
  <c r="L59" i="17"/>
  <c r="L46" i="17"/>
  <c r="L57" i="17"/>
  <c r="L44" i="17"/>
  <c r="L52" i="17"/>
  <c r="L60" i="17"/>
  <c r="L42" i="17"/>
  <c r="L45" i="17"/>
  <c r="L53" i="17"/>
  <c r="L61" i="17"/>
  <c r="L54" i="17"/>
  <c r="L50" i="17"/>
  <c r="L47" i="17"/>
  <c r="L55" i="17"/>
  <c r="L48" i="17"/>
  <c r="L56" i="17"/>
  <c r="L49" i="17"/>
  <c r="L58" i="17"/>
  <c r="K42" i="17"/>
  <c r="K50" i="17"/>
  <c r="K58" i="17"/>
  <c r="K43" i="17"/>
  <c r="K51" i="17"/>
  <c r="K59" i="17"/>
  <c r="K49" i="17"/>
  <c r="K44" i="17"/>
  <c r="K52" i="17"/>
  <c r="K60" i="17"/>
  <c r="K45" i="17"/>
  <c r="K53" i="17"/>
  <c r="K61" i="17"/>
  <c r="K46" i="17"/>
  <c r="K54" i="17"/>
  <c r="K56" i="17"/>
  <c r="K47" i="17"/>
  <c r="K55" i="17"/>
  <c r="K48" i="17"/>
  <c r="K57" i="17"/>
  <c r="G25" i="17"/>
  <c r="G33" i="17"/>
  <c r="G26" i="17"/>
  <c r="G34" i="17"/>
  <c r="G28" i="17"/>
  <c r="G23" i="17"/>
  <c r="G24" i="17"/>
  <c r="G27" i="17"/>
  <c r="G29" i="17"/>
  <c r="G30" i="17"/>
  <c r="G31" i="17"/>
  <c r="G32" i="17"/>
  <c r="F26" i="17"/>
  <c r="F34" i="17"/>
  <c r="F29" i="17"/>
  <c r="F27" i="17"/>
  <c r="F28" i="17"/>
  <c r="F30" i="17"/>
  <c r="F32" i="17"/>
  <c r="F33" i="17"/>
  <c r="F31" i="17"/>
  <c r="F24" i="17"/>
  <c r="F25" i="17"/>
  <c r="F23" i="17"/>
  <c r="L23" i="17"/>
  <c r="L31" i="17"/>
  <c r="L39" i="17"/>
  <c r="L35" i="17"/>
  <c r="L24" i="17"/>
  <c r="L32" i="17"/>
  <c r="L40" i="17"/>
  <c r="L28" i="17"/>
  <c r="L25" i="17"/>
  <c r="L33" i="17"/>
  <c r="L41" i="17"/>
  <c r="L34" i="17"/>
  <c r="L26" i="17"/>
  <c r="L36" i="17"/>
  <c r="L27" i="17"/>
  <c r="L29" i="17"/>
  <c r="L37" i="17"/>
  <c r="L30" i="17"/>
  <c r="L38" i="17"/>
  <c r="K23" i="17"/>
  <c r="K31" i="17"/>
  <c r="K39" i="17"/>
  <c r="K34" i="17"/>
  <c r="K24" i="17"/>
  <c r="K32" i="17"/>
  <c r="K40" i="17"/>
  <c r="K25" i="17"/>
  <c r="K33" i="17"/>
  <c r="K36" i="17"/>
  <c r="K26" i="17"/>
  <c r="K27" i="17"/>
  <c r="K35" i="17"/>
  <c r="K28" i="17"/>
  <c r="K29" i="17"/>
  <c r="K37" i="17"/>
  <c r="K30" i="17"/>
  <c r="K38" i="17"/>
  <c r="K41" i="17"/>
  <c r="K14" i="17"/>
  <c r="K22" i="17"/>
  <c r="K18" i="17"/>
  <c r="K15" i="17"/>
  <c r="K17" i="17"/>
  <c r="K16" i="17"/>
  <c r="K19" i="17"/>
  <c r="K20" i="17"/>
  <c r="K13" i="17"/>
  <c r="K21" i="17"/>
  <c r="L17" i="17"/>
  <c r="K12" i="17"/>
  <c r="L9" i="17"/>
  <c r="K4" i="17"/>
  <c r="L22" i="17"/>
  <c r="L14" i="17"/>
  <c r="K9" i="17"/>
  <c r="L6" i="17"/>
  <c r="K6" i="17"/>
  <c r="L19" i="17"/>
  <c r="L11" i="17"/>
  <c r="L3" i="17"/>
  <c r="L16" i="17"/>
  <c r="K11" i="17"/>
  <c r="L8" i="17"/>
  <c r="K3" i="17"/>
  <c r="L21" i="17"/>
  <c r="L13" i="17"/>
  <c r="K8" i="17"/>
  <c r="L5" i="17"/>
  <c r="L4" i="17"/>
  <c r="L18" i="17"/>
  <c r="L10" i="17"/>
  <c r="K5" i="17"/>
  <c r="K7" i="17"/>
  <c r="L15" i="17"/>
  <c r="K10" i="17"/>
  <c r="L7" i="17"/>
  <c r="L20" i="17"/>
  <c r="L12" i="17"/>
  <c r="M12" i="17" l="1"/>
  <c r="M20" i="17"/>
  <c r="M7" i="17"/>
  <c r="M15" i="17"/>
  <c r="M10" i="17"/>
  <c r="M18" i="17"/>
  <c r="M4" i="17"/>
  <c r="M5" i="17"/>
  <c r="M13" i="17"/>
  <c r="M21" i="17"/>
  <c r="M8" i="17"/>
  <c r="M16" i="17"/>
  <c r="M11" i="17"/>
  <c r="M19" i="17"/>
  <c r="M6" i="17"/>
  <c r="M14" i="17"/>
  <c r="M9" i="17"/>
  <c r="M17" i="17"/>
  <c r="M22" i="17"/>
  <c r="M41" i="17"/>
  <c r="M38" i="17"/>
  <c r="M30" i="17"/>
  <c r="M37" i="17"/>
  <c r="M29" i="17"/>
  <c r="M28" i="17"/>
  <c r="M35" i="17"/>
  <c r="M27" i="17"/>
  <c r="M26" i="17"/>
  <c r="M36" i="17"/>
  <c r="M33" i="17"/>
  <c r="M25" i="17"/>
  <c r="M40" i="17"/>
  <c r="M32" i="17"/>
  <c r="M24" i="17"/>
  <c r="M34" i="17"/>
  <c r="M39" i="17"/>
  <c r="M31" i="17"/>
  <c r="M23" i="17"/>
  <c r="M3" i="17"/>
  <c r="J16" i="16"/>
  <c r="K16" i="16"/>
  <c r="L16" i="16"/>
  <c r="I16" i="16"/>
  <c r="G22" i="17"/>
  <c r="G7" i="17"/>
  <c r="G6" i="17"/>
  <c r="G4" i="17"/>
  <c r="G13" i="17"/>
  <c r="G21" i="17"/>
  <c r="G14" i="17"/>
  <c r="G15" i="17"/>
  <c r="G8" i="17"/>
  <c r="G16" i="17"/>
  <c r="G9" i="17"/>
  <c r="G17" i="17"/>
  <c r="G19" i="17"/>
  <c r="G12" i="17"/>
  <c r="G10" i="17"/>
  <c r="G18" i="17"/>
  <c r="G11" i="17"/>
  <c r="G20" i="17"/>
  <c r="F4" i="17"/>
  <c r="F12" i="17"/>
  <c r="F20" i="17"/>
  <c r="F22" i="17"/>
  <c r="F5" i="17"/>
  <c r="F13" i="17"/>
  <c r="F21" i="17"/>
  <c r="F17" i="17"/>
  <c r="F6" i="17"/>
  <c r="F14" i="17"/>
  <c r="F7" i="17"/>
  <c r="F15" i="17"/>
  <c r="F8" i="17"/>
  <c r="F9" i="17"/>
  <c r="F10" i="17"/>
  <c r="F18" i="17"/>
  <c r="F11" i="17"/>
  <c r="F19" i="17"/>
  <c r="F16" i="17"/>
  <c r="F3" i="17"/>
  <c r="F7" i="2"/>
  <c r="K6" i="5"/>
  <c r="L7" i="4"/>
  <c r="G15" i="6"/>
  <c r="F13" i="3"/>
  <c r="L9" i="6"/>
  <c r="K11" i="3"/>
  <c r="K7" i="5"/>
  <c r="L4" i="4"/>
  <c r="I9" i="5"/>
  <c r="I6" i="6"/>
  <c r="H10" i="6"/>
  <c r="F16" i="4"/>
  <c r="K13" i="6"/>
  <c r="G6" i="5"/>
  <c r="F13" i="4"/>
  <c r="K9" i="5"/>
  <c r="L11" i="3"/>
  <c r="J4" i="5"/>
  <c r="J19" i="4"/>
  <c r="J7" i="3"/>
  <c r="I17" i="2"/>
  <c r="K4" i="6"/>
  <c r="K11" i="2"/>
  <c r="L19" i="2"/>
  <c r="H12" i="4"/>
  <c r="G14" i="2"/>
  <c r="H3" i="2"/>
  <c r="H7" i="2"/>
  <c r="K17" i="6"/>
  <c r="H10" i="4"/>
  <c r="I14" i="3"/>
  <c r="G13" i="6"/>
  <c r="G12" i="2"/>
  <c r="H9" i="3"/>
  <c r="H15" i="2"/>
  <c r="H5" i="6"/>
  <c r="F4" i="6"/>
  <c r="L4" i="5"/>
  <c r="J14" i="6"/>
  <c r="J17" i="3"/>
  <c r="I19" i="6"/>
  <c r="L19" i="5"/>
  <c r="K7" i="6"/>
  <c r="H18" i="4"/>
  <c r="J14" i="5"/>
  <c r="L8" i="6"/>
  <c r="G13" i="4"/>
  <c r="J8" i="6"/>
  <c r="J11" i="4"/>
  <c r="K9" i="3"/>
  <c r="J17" i="2"/>
  <c r="F15" i="3"/>
  <c r="K17" i="5"/>
  <c r="G19" i="4"/>
  <c r="J8" i="3"/>
  <c r="K18" i="6"/>
  <c r="K6" i="6"/>
  <c r="K16" i="6"/>
  <c r="F17" i="2"/>
  <c r="L17" i="2"/>
  <c r="I10" i="3"/>
  <c r="I8" i="4"/>
  <c r="L19" i="6"/>
  <c r="K13" i="2"/>
  <c r="F5" i="2"/>
  <c r="I9" i="4"/>
  <c r="J4" i="6"/>
  <c r="H17" i="4"/>
  <c r="I6" i="2"/>
  <c r="F8" i="2"/>
  <c r="G19" i="5"/>
  <c r="L16" i="5"/>
  <c r="F7" i="5"/>
  <c r="K8" i="2"/>
  <c r="G14" i="4"/>
  <c r="F18" i="4"/>
  <c r="L17" i="6"/>
  <c r="J15" i="5"/>
  <c r="L6" i="3"/>
  <c r="H8" i="4"/>
  <c r="I8" i="5"/>
  <c r="G15" i="5"/>
  <c r="F8" i="6"/>
  <c r="F12" i="3"/>
  <c r="G10" i="6"/>
  <c r="I7" i="6"/>
  <c r="G5" i="4"/>
  <c r="H5" i="3"/>
  <c r="J12" i="5"/>
  <c r="I13" i="3"/>
  <c r="I9" i="6"/>
  <c r="J10" i="4"/>
  <c r="J4" i="2"/>
  <c r="F12" i="5"/>
  <c r="J7" i="4"/>
  <c r="H8" i="5"/>
  <c r="L3" i="4"/>
  <c r="L15" i="2"/>
  <c r="J19" i="2"/>
  <c r="J18" i="2"/>
  <c r="G4" i="4"/>
  <c r="G3" i="5"/>
  <c r="K9" i="6"/>
  <c r="J11" i="6"/>
  <c r="K12" i="2"/>
  <c r="G16" i="3"/>
  <c r="L6" i="4"/>
  <c r="G19" i="2"/>
  <c r="K4" i="3"/>
  <c r="K15" i="2"/>
  <c r="G18" i="5"/>
  <c r="K18" i="4"/>
  <c r="H15" i="5"/>
  <c r="J18" i="5"/>
  <c r="L10" i="3"/>
  <c r="F19" i="2"/>
  <c r="I6" i="4"/>
  <c r="H17" i="5"/>
  <c r="J3" i="4"/>
  <c r="G11" i="6"/>
  <c r="L5" i="5"/>
  <c r="F18" i="2"/>
  <c r="L11" i="4"/>
  <c r="L17" i="3"/>
  <c r="G7" i="6"/>
  <c r="F14" i="2"/>
  <c r="I10" i="6"/>
  <c r="K5" i="2"/>
  <c r="K5" i="3"/>
  <c r="L9" i="2"/>
  <c r="L4" i="3"/>
  <c r="K9" i="4"/>
  <c r="K19" i="2"/>
  <c r="F14" i="3"/>
  <c r="F3" i="2"/>
  <c r="I12" i="2"/>
  <c r="J17" i="4"/>
  <c r="F4" i="5"/>
  <c r="F11" i="2"/>
  <c r="G5" i="6"/>
  <c r="L9" i="5"/>
  <c r="F12" i="2"/>
  <c r="I5" i="5"/>
  <c r="G10" i="4"/>
  <c r="G12" i="3"/>
  <c r="L9" i="3"/>
  <c r="L3" i="3"/>
  <c r="H4" i="4"/>
  <c r="K15" i="3"/>
  <c r="I13" i="6"/>
  <c r="K7" i="3"/>
  <c r="H8" i="6"/>
  <c r="F5" i="4"/>
  <c r="F17" i="3"/>
  <c r="H9" i="4"/>
  <c r="H14" i="3"/>
  <c r="I13" i="5"/>
  <c r="L8" i="3"/>
  <c r="J17" i="6"/>
  <c r="G4" i="2"/>
  <c r="H13" i="6"/>
  <c r="F12" i="4"/>
  <c r="J10" i="5"/>
  <c r="K8" i="3"/>
  <c r="I6" i="3"/>
  <c r="J5" i="5"/>
  <c r="G11" i="4"/>
  <c r="G17" i="5"/>
  <c r="K15" i="6"/>
  <c r="F13" i="2"/>
  <c r="F18" i="3"/>
  <c r="H18" i="2"/>
  <c r="I9" i="3"/>
  <c r="F15" i="2"/>
  <c r="I18" i="3"/>
  <c r="G10" i="3"/>
  <c r="H6" i="2"/>
  <c r="F3" i="4"/>
  <c r="L17" i="4"/>
  <c r="H18" i="6"/>
  <c r="F19" i="6"/>
  <c r="J4" i="3"/>
  <c r="I15" i="6"/>
  <c r="F5" i="3"/>
  <c r="F15" i="4"/>
  <c r="H15" i="4"/>
  <c r="H7" i="6"/>
  <c r="H13" i="3"/>
  <c r="C9" i="9"/>
  <c r="I16" i="2"/>
  <c r="K16" i="2"/>
  <c r="L10" i="4"/>
  <c r="G5" i="3"/>
  <c r="I8" i="6"/>
  <c r="G4" i="3"/>
  <c r="G6" i="3"/>
  <c r="G4" i="5"/>
  <c r="L7" i="6"/>
  <c r="J10" i="2"/>
  <c r="G7" i="4"/>
  <c r="F10" i="4"/>
  <c r="I4" i="4"/>
  <c r="I18" i="5"/>
  <c r="G14" i="6"/>
  <c r="G8" i="6"/>
  <c r="L18" i="4"/>
  <c r="K11" i="5"/>
  <c r="F16" i="5"/>
  <c r="L8" i="5"/>
  <c r="K11" i="4"/>
  <c r="L16" i="6"/>
  <c r="K3" i="6"/>
  <c r="H7" i="3"/>
  <c r="G16" i="4"/>
  <c r="F7" i="4"/>
  <c r="G12" i="5"/>
  <c r="I14" i="4"/>
  <c r="J9" i="5"/>
  <c r="F3" i="5"/>
  <c r="F10" i="5"/>
  <c r="H12" i="2"/>
  <c r="G18" i="6"/>
  <c r="H11" i="5"/>
  <c r="J7" i="2"/>
  <c r="H17" i="6"/>
  <c r="J7" i="6"/>
  <c r="H13" i="5"/>
  <c r="H11" i="2"/>
  <c r="K6" i="2"/>
  <c r="J15" i="2"/>
  <c r="F4" i="3"/>
  <c r="I7" i="2"/>
  <c r="I10" i="2"/>
  <c r="I7" i="3"/>
  <c r="H14" i="2"/>
  <c r="K6" i="3"/>
  <c r="F16" i="2"/>
  <c r="G17" i="6"/>
  <c r="I12" i="4"/>
  <c r="K19" i="6"/>
  <c r="G12" i="4"/>
  <c r="G9" i="3"/>
  <c r="L15" i="6"/>
  <c r="F11" i="6"/>
  <c r="L18" i="6"/>
  <c r="J3" i="3"/>
  <c r="F14" i="6"/>
  <c r="L13" i="3"/>
  <c r="G13" i="3"/>
  <c r="K16" i="3"/>
  <c r="H13" i="2"/>
  <c r="L13" i="4"/>
  <c r="F17" i="5"/>
  <c r="J12" i="6"/>
  <c r="I5" i="4"/>
  <c r="K19" i="4"/>
  <c r="J12" i="4"/>
  <c r="H5" i="5"/>
  <c r="J13" i="6"/>
  <c r="H3" i="6"/>
  <c r="L7" i="3"/>
  <c r="J11" i="3"/>
  <c r="J9" i="6"/>
  <c r="K19" i="3"/>
  <c r="L5" i="3"/>
  <c r="J16" i="2"/>
  <c r="L11" i="6"/>
  <c r="J3" i="5"/>
  <c r="J5" i="2"/>
  <c r="K12" i="4"/>
  <c r="F5" i="5"/>
  <c r="H12" i="3"/>
  <c r="K10" i="6"/>
  <c r="L15" i="3"/>
  <c r="G15" i="4"/>
  <c r="J13" i="3"/>
  <c r="L12" i="6"/>
  <c r="J5" i="3"/>
  <c r="L4" i="2"/>
  <c r="G8" i="2"/>
  <c r="J5" i="4"/>
  <c r="G6" i="2"/>
  <c r="H6" i="3"/>
  <c r="J17" i="5"/>
  <c r="F19" i="4"/>
  <c r="H16" i="6"/>
  <c r="G7" i="5"/>
  <c r="L3" i="5"/>
  <c r="G6" i="6"/>
  <c r="J9" i="2"/>
  <c r="J14" i="4"/>
  <c r="F9" i="5"/>
  <c r="I18" i="6"/>
  <c r="J7" i="5"/>
  <c r="G19" i="3"/>
  <c r="H11" i="6"/>
  <c r="I17" i="3"/>
  <c r="G16" i="5"/>
  <c r="I15" i="5"/>
  <c r="I5" i="3"/>
  <c r="G18" i="2"/>
  <c r="K10" i="2"/>
  <c r="K10" i="3"/>
  <c r="H13" i="4"/>
  <c r="G17" i="4"/>
  <c r="I3" i="3"/>
  <c r="F17" i="6"/>
  <c r="J9" i="3"/>
  <c r="F6" i="3"/>
  <c r="J6" i="5"/>
  <c r="I12" i="6"/>
  <c r="I11" i="6"/>
  <c r="H5" i="2"/>
  <c r="F15" i="6"/>
  <c r="J14" i="3"/>
  <c r="L12" i="2"/>
  <c r="L13" i="5"/>
  <c r="K14" i="4"/>
  <c r="H19" i="6"/>
  <c r="K3" i="3"/>
  <c r="H15" i="3"/>
  <c r="J19" i="6"/>
  <c r="J8" i="2"/>
  <c r="K12" i="6"/>
  <c r="K18" i="5"/>
  <c r="L10" i="5"/>
  <c r="F10" i="6"/>
  <c r="L14" i="2"/>
  <c r="J18" i="4"/>
  <c r="L14" i="6"/>
  <c r="H10" i="3"/>
  <c r="L3" i="6"/>
  <c r="G19" i="6"/>
  <c r="H18" i="5"/>
  <c r="H3" i="9"/>
  <c r="K7" i="2"/>
  <c r="K3" i="4"/>
  <c r="I5" i="2"/>
  <c r="I4" i="5"/>
  <c r="K16" i="5"/>
  <c r="L12" i="4"/>
  <c r="F7" i="3"/>
  <c r="L11" i="2"/>
  <c r="J3" i="6"/>
  <c r="H6" i="4"/>
  <c r="L15" i="5"/>
  <c r="F6" i="2"/>
  <c r="G11" i="3"/>
  <c r="J6" i="3"/>
  <c r="F18" i="5"/>
  <c r="H11" i="4"/>
  <c r="K14" i="6"/>
  <c r="L9" i="4"/>
  <c r="J8" i="4"/>
  <c r="F8" i="4"/>
  <c r="H5" i="4"/>
  <c r="H12" i="5"/>
  <c r="H10" i="2"/>
  <c r="K18" i="3"/>
  <c r="G3" i="2"/>
  <c r="K14" i="5"/>
  <c r="K7" i="4"/>
  <c r="F11" i="5"/>
  <c r="H4" i="3"/>
  <c r="L14" i="3"/>
  <c r="I15" i="2"/>
  <c r="H18" i="3"/>
  <c r="G17" i="3"/>
  <c r="F19" i="5"/>
  <c r="F9" i="3"/>
  <c r="L10" i="6"/>
  <c r="F10" i="3"/>
  <c r="F10" i="2"/>
  <c r="G13" i="2"/>
  <c r="L19" i="4"/>
  <c r="K5" i="5"/>
  <c r="F5" i="6"/>
  <c r="I17" i="6"/>
  <c r="G10" i="2"/>
  <c r="H9" i="5"/>
  <c r="F3" i="6"/>
  <c r="F4" i="4"/>
  <c r="H17" i="2"/>
  <c r="L8" i="4"/>
  <c r="L4" i="6"/>
  <c r="H19" i="3"/>
  <c r="H3" i="4"/>
  <c r="I4" i="2"/>
  <c r="H9" i="2"/>
  <c r="H7" i="5"/>
  <c r="G3" i="4"/>
  <c r="G8" i="4"/>
  <c r="G5" i="2"/>
  <c r="J12" i="3"/>
  <c r="H3" i="5"/>
  <c r="J11" i="5"/>
  <c r="J18" i="6"/>
  <c r="G9" i="5"/>
  <c r="J12" i="2"/>
  <c r="J16" i="4"/>
  <c r="H6" i="6"/>
  <c r="G12" i="6"/>
  <c r="F13" i="5"/>
  <c r="I14" i="2"/>
  <c r="F4" i="2"/>
  <c r="L18" i="2"/>
  <c r="I7" i="4"/>
  <c r="G14" i="3"/>
  <c r="F3" i="3"/>
  <c r="L18" i="5"/>
  <c r="K9" i="2"/>
  <c r="G14" i="5"/>
  <c r="H17" i="3"/>
  <c r="L6" i="2"/>
  <c r="G11" i="5"/>
  <c r="I11" i="5"/>
  <c r="H12" i="6"/>
  <c r="K8" i="5"/>
  <c r="K17" i="2"/>
  <c r="G16" i="2"/>
  <c r="K18" i="2"/>
  <c r="G13" i="5"/>
  <c r="L5" i="4"/>
  <c r="K4" i="4"/>
  <c r="L16" i="3"/>
  <c r="G15" i="3"/>
  <c r="G7" i="3"/>
  <c r="J10" i="3"/>
  <c r="L16" i="4"/>
  <c r="I16" i="3"/>
  <c r="J6" i="6"/>
  <c r="L18" i="3"/>
  <c r="F15" i="5"/>
  <c r="I13" i="2"/>
  <c r="I16" i="6"/>
  <c r="J13" i="5"/>
  <c r="I3" i="4"/>
  <c r="H9" i="6"/>
  <c r="I16" i="5"/>
  <c r="I9" i="2"/>
  <c r="K19" i="5"/>
  <c r="L16" i="2"/>
  <c r="H10" i="5"/>
  <c r="H8" i="2"/>
  <c r="I3" i="2"/>
  <c r="G9" i="4"/>
  <c r="H16" i="3"/>
  <c r="H4" i="2"/>
  <c r="J4" i="4"/>
  <c r="K5" i="4"/>
  <c r="I17" i="4"/>
  <c r="K12" i="3"/>
  <c r="K13" i="3"/>
  <c r="J15" i="6"/>
  <c r="I11" i="4"/>
  <c r="L5" i="6"/>
  <c r="J10" i="6"/>
  <c r="F11" i="4"/>
  <c r="F6" i="6"/>
  <c r="K8" i="4"/>
  <c r="H7" i="4"/>
  <c r="H6" i="5"/>
  <c r="I8" i="2"/>
  <c r="J13" i="4"/>
  <c r="F8" i="5"/>
  <c r="K17" i="4"/>
  <c r="J19" i="5"/>
  <c r="F14" i="4"/>
  <c r="F6" i="5"/>
  <c r="L15" i="4"/>
  <c r="I3" i="5"/>
  <c r="K4" i="5"/>
  <c r="H14" i="5"/>
  <c r="G16" i="6"/>
  <c r="I15" i="4"/>
  <c r="K12" i="5"/>
  <c r="K15" i="5"/>
  <c r="J6" i="2"/>
  <c r="K13" i="4"/>
  <c r="I15" i="3"/>
  <c r="L10" i="2"/>
  <c r="H4" i="6"/>
  <c r="K10" i="4"/>
  <c r="L12" i="3"/>
  <c r="K4" i="2"/>
  <c r="I19" i="3"/>
  <c r="L5" i="2"/>
  <c r="I19" i="5"/>
  <c r="G5" i="5"/>
  <c r="G8" i="5"/>
  <c r="G15" i="2"/>
  <c r="I18" i="2"/>
  <c r="L6" i="6"/>
  <c r="G17" i="2"/>
  <c r="K14" i="2"/>
  <c r="J14" i="2"/>
  <c r="I11" i="3"/>
  <c r="F16" i="3"/>
  <c r="G11" i="2"/>
  <c r="F12" i="6"/>
  <c r="K14" i="3"/>
  <c r="L12" i="5"/>
  <c r="J16" i="5"/>
  <c r="L3" i="2"/>
  <c r="H3" i="3"/>
  <c r="F9" i="4"/>
  <c r="I10" i="5"/>
  <c r="J16" i="3"/>
  <c r="L14" i="5"/>
  <c r="I10" i="4"/>
  <c r="G3" i="6"/>
  <c r="K3" i="2"/>
  <c r="H14" i="4"/>
  <c r="F9" i="6"/>
  <c r="J9" i="4"/>
  <c r="I13" i="4"/>
  <c r="I12" i="3"/>
  <c r="K17" i="3"/>
  <c r="K8" i="6"/>
  <c r="G4" i="6"/>
  <c r="F19" i="3"/>
  <c r="J8" i="5"/>
  <c r="I19" i="2"/>
  <c r="J13" i="2"/>
  <c r="J19" i="3"/>
  <c r="H19" i="5"/>
  <c r="H8" i="3"/>
  <c r="H16" i="4"/>
  <c r="G9" i="2"/>
  <c r="F11" i="3"/>
  <c r="L13" i="2"/>
  <c r="J6" i="4"/>
  <c r="K13" i="5"/>
  <c r="H14" i="6"/>
  <c r="J15" i="3"/>
  <c r="I17" i="5"/>
  <c r="G8" i="3"/>
  <c r="F17" i="4"/>
  <c r="I12" i="5"/>
  <c r="G10" i="5"/>
  <c r="J3" i="2"/>
  <c r="I14" i="6"/>
  <c r="K15" i="4"/>
  <c r="H19" i="2"/>
  <c r="K10" i="5"/>
  <c r="H11" i="3"/>
  <c r="L17" i="5"/>
  <c r="H4" i="5"/>
  <c r="J15" i="4"/>
  <c r="I11" i="2"/>
  <c r="K3" i="5"/>
  <c r="G3" i="3"/>
  <c r="F16" i="6"/>
  <c r="F13" i="6"/>
  <c r="G9" i="6"/>
  <c r="I7" i="5"/>
  <c r="G18" i="3"/>
  <c r="I4" i="6"/>
  <c r="F14" i="5"/>
  <c r="H15" i="6"/>
  <c r="F6" i="4"/>
  <c r="L7" i="5"/>
  <c r="K16" i="4"/>
  <c r="F7" i="6"/>
  <c r="I4" i="3"/>
  <c r="K5" i="6"/>
  <c r="L8" i="2"/>
  <c r="L11" i="5"/>
  <c r="I19" i="4"/>
  <c r="I5" i="6"/>
  <c r="I16" i="4"/>
  <c r="L6" i="5"/>
  <c r="F9" i="2"/>
  <c r="J11" i="2"/>
  <c r="K11" i="6"/>
  <c r="J16" i="6"/>
  <c r="J18" i="3"/>
  <c r="G6" i="4"/>
  <c r="H16" i="2"/>
  <c r="L19" i="3"/>
  <c r="H16" i="5"/>
  <c r="I18" i="4"/>
  <c r="L13" i="6"/>
  <c r="L14" i="4"/>
  <c r="G18" i="4"/>
  <c r="G7" i="2"/>
  <c r="F8" i="3"/>
  <c r="K6" i="4"/>
  <c r="J5" i="6"/>
  <c r="L7" i="2"/>
  <c r="I6" i="5"/>
  <c r="H19" i="4"/>
  <c r="I14" i="5"/>
  <c r="I8" i="3"/>
  <c r="I3" i="6"/>
  <c r="F18" i="6"/>
  <c r="H16" i="17" l="1"/>
  <c r="H19" i="17"/>
  <c r="H18" i="17"/>
  <c r="H15" i="17"/>
  <c r="H14" i="17"/>
  <c r="H17" i="17"/>
  <c r="H21" i="17"/>
  <c r="H22" i="17"/>
  <c r="H20" i="17"/>
  <c r="H11" i="17"/>
  <c r="H10" i="17"/>
  <c r="H12" i="17"/>
  <c r="H9" i="17"/>
  <c r="H8" i="17"/>
  <c r="C5" i="16"/>
  <c r="G3" i="9"/>
  <c r="G12" i="16"/>
  <c r="G13" i="16"/>
  <c r="G14" i="16"/>
  <c r="G10" i="16"/>
  <c r="G7" i="16"/>
  <c r="G11" i="16"/>
  <c r="G5" i="16"/>
  <c r="G4" i="16"/>
  <c r="G8" i="16"/>
  <c r="G9" i="16"/>
  <c r="G6" i="16"/>
  <c r="G22" i="16"/>
  <c r="I2" i="16"/>
  <c r="K2" i="16"/>
  <c r="J2" i="16"/>
  <c r="L2" i="16"/>
  <c r="H8" i="16"/>
  <c r="H21" i="16" s="1"/>
  <c r="H11" i="16"/>
  <c r="H10" i="16"/>
  <c r="H4" i="16"/>
  <c r="H6" i="16"/>
  <c r="H5" i="16"/>
  <c r="H12" i="16"/>
  <c r="H9" i="16"/>
  <c r="H13" i="16"/>
  <c r="H14" i="16"/>
  <c r="H7" i="16"/>
  <c r="I8" i="16"/>
  <c r="I21" i="16" s="1"/>
  <c r="I12" i="16"/>
  <c r="I25" i="16" s="1"/>
  <c r="I7" i="16"/>
  <c r="I20" i="16" s="1"/>
  <c r="I14" i="16"/>
  <c r="I27" i="16" s="1"/>
  <c r="I4" i="16"/>
  <c r="I17" i="16" s="1"/>
  <c r="I6" i="16"/>
  <c r="I19" i="16" s="1"/>
  <c r="I10" i="16"/>
  <c r="I23" i="16" s="1"/>
  <c r="I5" i="16"/>
  <c r="I18" i="16" s="1"/>
  <c r="I13" i="16"/>
  <c r="I26" i="16" s="1"/>
  <c r="I9" i="16"/>
  <c r="I22" i="16" s="1"/>
  <c r="I11" i="16"/>
  <c r="I24" i="16" s="1"/>
  <c r="K13" i="16"/>
  <c r="K26" i="16" s="1"/>
  <c r="K6" i="16"/>
  <c r="K19" i="16" s="1"/>
  <c r="K12" i="16"/>
  <c r="K25" i="16" s="1"/>
  <c r="K9" i="16"/>
  <c r="K22" i="16" s="1"/>
  <c r="K5" i="16"/>
  <c r="K18" i="16" s="1"/>
  <c r="K11" i="16"/>
  <c r="K24" i="16" s="1"/>
  <c r="K4" i="16"/>
  <c r="K17" i="16" s="1"/>
  <c r="K7" i="16"/>
  <c r="K20" i="16" s="1"/>
  <c r="K8" i="16"/>
  <c r="K21" i="16" s="1"/>
  <c r="K14" i="16"/>
  <c r="K27" i="16" s="1"/>
  <c r="K10" i="16"/>
  <c r="K23" i="16" s="1"/>
  <c r="J9" i="16"/>
  <c r="J22" i="16" s="1"/>
  <c r="J5" i="16"/>
  <c r="J18" i="16" s="1"/>
  <c r="J8" i="16"/>
  <c r="J21" i="16" s="1"/>
  <c r="J7" i="16"/>
  <c r="J20" i="16" s="1"/>
  <c r="J13" i="16"/>
  <c r="J26" i="16" s="1"/>
  <c r="J10" i="16"/>
  <c r="J23" i="16" s="1"/>
  <c r="J6" i="16"/>
  <c r="J19" i="16" s="1"/>
  <c r="J11" i="16"/>
  <c r="J24" i="16" s="1"/>
  <c r="J4" i="16"/>
  <c r="J17" i="16" s="1"/>
  <c r="J12" i="16"/>
  <c r="J25" i="16" s="1"/>
  <c r="J14" i="16"/>
  <c r="J27" i="16" s="1"/>
  <c r="L9" i="16"/>
  <c r="L4" i="16"/>
  <c r="L6" i="16"/>
  <c r="L11" i="16"/>
  <c r="L12" i="16"/>
  <c r="L14" i="16"/>
  <c r="L7" i="16"/>
  <c r="L10" i="16"/>
  <c r="L5" i="16"/>
  <c r="L13" i="16"/>
  <c r="L8" i="16"/>
  <c r="F4" i="9" l="1"/>
  <c r="L18" i="16"/>
  <c r="L22" i="16"/>
  <c r="H17" i="16"/>
  <c r="G20" i="16"/>
  <c r="H26" i="16"/>
  <c r="H25" i="16"/>
  <c r="L21" i="16"/>
  <c r="H19" i="16"/>
  <c r="L23" i="16"/>
  <c r="H20" i="16"/>
  <c r="H23" i="16"/>
  <c r="G23" i="16"/>
  <c r="G19" i="16"/>
  <c r="G17" i="16"/>
  <c r="H18" i="16"/>
  <c r="L26" i="16"/>
  <c r="G24" i="16"/>
  <c r="L20" i="16"/>
  <c r="H27" i="16"/>
  <c r="H24" i="16"/>
  <c r="G27" i="16"/>
  <c r="L27" i="16"/>
  <c r="G26" i="16"/>
  <c r="L19" i="16"/>
  <c r="L17" i="16"/>
  <c r="L25" i="16"/>
  <c r="H22" i="16"/>
  <c r="G21" i="16"/>
  <c r="G25" i="16"/>
  <c r="L24" i="16"/>
  <c r="G4" i="9"/>
  <c r="H4" i="9"/>
  <c r="G18" i="16"/>
  <c r="F5" i="9" l="1"/>
  <c r="H5" i="9"/>
  <c r="G5" i="9"/>
  <c r="F6" i="9" l="1"/>
  <c r="G6" i="9"/>
  <c r="H6" i="9"/>
  <c r="F7" i="9" l="1"/>
  <c r="G7" i="9"/>
  <c r="H7" i="9"/>
  <c r="F8" i="9" l="1"/>
  <c r="G8" i="9"/>
  <c r="H8" i="9"/>
  <c r="F9" i="9" l="1"/>
  <c r="G9" i="9"/>
  <c r="H9" i="9"/>
  <c r="F10" i="9" l="1"/>
  <c r="G10" i="9"/>
  <c r="H10" i="9"/>
  <c r="F11" i="9" l="1"/>
  <c r="G11" i="9"/>
  <c r="H11" i="9"/>
  <c r="F12" i="9" l="1"/>
  <c r="G12" i="9"/>
  <c r="H12" i="9"/>
  <c r="F13" i="9" l="1"/>
  <c r="H13" i="9"/>
  <c r="G13" i="9"/>
</calcChain>
</file>

<file path=xl/sharedStrings.xml><?xml version="1.0" encoding="utf-8"?>
<sst xmlns="http://schemas.openxmlformats.org/spreadsheetml/2006/main" count="68" uniqueCount="29">
  <si>
    <t>K</t>
  </si>
  <si>
    <t>r</t>
  </si>
  <si>
    <t>q</t>
  </si>
  <si>
    <t>vol</t>
  </si>
  <si>
    <t>epsilon</t>
  </si>
  <si>
    <t>S(0)/T</t>
  </si>
  <si>
    <t>ttm</t>
  </si>
  <si>
    <t>call price</t>
  </si>
  <si>
    <t>input vol</t>
  </si>
  <si>
    <t>ivol</t>
  </si>
  <si>
    <t>iteration</t>
  </si>
  <si>
    <t>f(ivol)</t>
  </si>
  <si>
    <t>f'(ivol)</t>
  </si>
  <si>
    <t>S</t>
  </si>
  <si>
    <t>Bachelier</t>
  </si>
  <si>
    <t>F</t>
  </si>
  <si>
    <t>Black</t>
  </si>
  <si>
    <t>ATM black vol</t>
  </si>
  <si>
    <t>ATM bachelier</t>
  </si>
  <si>
    <t>SLN</t>
  </si>
  <si>
    <t>beta</t>
  </si>
  <si>
    <t>ATM SLN vol</t>
  </si>
  <si>
    <t xml:space="preserve">Bachelier </t>
  </si>
  <si>
    <t xml:space="preserve">Black </t>
  </si>
  <si>
    <t>Call</t>
  </si>
  <si>
    <t>Put</t>
  </si>
  <si>
    <t>E[S_T^2]</t>
  </si>
  <si>
    <t>replication</t>
  </si>
  <si>
    <t>h(S_T^2)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</si>
</sst>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"/>
    <numFmt numFmtId="165" formatCode="0.0"/>
    <numFmt numFmtId="166" formatCode="0.00000"/>
    <numFmt numFmtId="167" formatCode="0.00000000"/>
    <numFmt numFmtId="168" formatCode="0.0%"/>
    <numFmt numFmtId="169" formatCode="0.000000"/>
    <numFmt numFmtId="170" formatCode="0.000%"/>
    <numFmt numFmtId="175" formatCode="0.00000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10" fontId="0" fillId="0" borderId="0" xfId="0" applyNumberFormat="1"/>
    <xf numFmtId="169" fontId="0" fillId="0" borderId="0" xfId="0" applyNumberFormat="1"/>
    <xf numFmtId="166" fontId="0" fillId="2" borderId="0" xfId="0" applyNumberFormat="1" applyFill="1"/>
    <xf numFmtId="170" fontId="0" fillId="0" borderId="0" xfId="1" applyNumberFormat="1" applyFont="1"/>
    <xf numFmtId="9" fontId="0" fillId="0" borderId="0" xfId="0" applyNumberFormat="1"/>
    <xf numFmtId="2" fontId="0" fillId="0" borderId="0" xfId="0" applyNumberFormat="1"/>
    <xf numFmtId="2" fontId="0" fillId="2" borderId="0" xfId="0" applyNumberFormat="1" applyFill="1"/>
    <xf numFmtId="175" fontId="0" fillId="2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baseline="0"/>
              <a:t>Bachelier vs Black vs Shifted Lognormal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Bachelier!$G$16</c:f>
              <c:strCache>
                <c:ptCount val="1"/>
                <c:pt idx="0">
                  <c:v>Bachelier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Bachelier!$G$17:$G$27</c:f>
              <c:numCache>
                <c:formatCode>0.00000</c:formatCode>
                <c:ptCount val="11"/>
                <c:pt idx="0">
                  <c:v>0.27814938538411543</c:v>
                </c:pt>
                <c:pt idx="1">
                  <c:v>0.25610953380571089</c:v>
                </c:pt>
                <c:pt idx="2">
                  <c:v>0.23834567259911099</c:v>
                </c:pt>
                <c:pt idx="3">
                  <c:v>0.22360834387129672</c:v>
                </c:pt>
                <c:pt idx="4">
                  <c:v>0.21111238036210445</c:v>
                </c:pt>
                <c:pt idx="5">
                  <c:v>0.20033450506388462</c:v>
                </c:pt>
                <c:pt idx="6">
                  <c:v>0.19090985901116417</c:v>
                </c:pt>
                <c:pt idx="7">
                  <c:v>0.1825747477078675</c:v>
                </c:pt>
                <c:pt idx="8">
                  <c:v>0.17513294110044419</c:v>
                </c:pt>
                <c:pt idx="9">
                  <c:v>0.16843482560380837</c:v>
                </c:pt>
                <c:pt idx="10">
                  <c:v>0.16236396755319019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100-823B-EF4090D87B26}"/>
            </c:ext>
          </c:extLst>
        </c:ser>
        <c:ser>
          <c:idx val="1"/>
          <c:order val="1"/>
          <c:tx>
            <c:strRef>
              <c:f>Bachelier!$H$16</c:f>
              <c:strCache>
                <c:ptCount val="1"/>
                <c:pt idx="0">
                  <c:v>Black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Bachelier!$H$17:$H$27</c:f>
              <c:numCache>
                <c:formatCode>0.00000</c:formatCode>
                <c:ptCount val="11"/>
                <c:pt idx="0">
                  <c:v>0.20033450506381631</c:v>
                </c:pt>
                <c:pt idx="1">
                  <c:v>0.20033450506387548</c:v>
                </c:pt>
                <c:pt idx="2">
                  <c:v>0.20033450506388581</c:v>
                </c:pt>
                <c:pt idx="3">
                  <c:v>0.20033450506388462</c:v>
                </c:pt>
                <c:pt idx="4">
                  <c:v>0.20033450506388467</c:v>
                </c:pt>
                <c:pt idx="5">
                  <c:v>0.20033450506388487</c:v>
                </c:pt>
                <c:pt idx="6">
                  <c:v>0.20033450506388456</c:v>
                </c:pt>
                <c:pt idx="7">
                  <c:v>0.20033450506388506</c:v>
                </c:pt>
                <c:pt idx="8">
                  <c:v>0.20033450506388462</c:v>
                </c:pt>
                <c:pt idx="9">
                  <c:v>0.20033450506388481</c:v>
                </c:pt>
                <c:pt idx="10">
                  <c:v>0.20033450506388475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D-4100-823B-EF4090D87B26}"/>
            </c:ext>
          </c:extLst>
        </c:ser>
        <c:ser>
          <c:idx val="2"/>
          <c:order val="2"/>
          <c:tx>
            <c:strRef>
              <c:f>Bachelier!$I$16</c:f>
              <c:strCache>
                <c:ptCount val="1"/>
                <c:pt idx="0">
                  <c:v>0.1%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Bachelier!$I$17:$I$27</c:f>
              <c:numCache>
                <c:formatCode>0.00000</c:formatCode>
                <c:ptCount val="11"/>
                <c:pt idx="0">
                  <c:v>0.20453516260823237</c:v>
                </c:pt>
                <c:pt idx="1">
                  <c:v>0.20323811157847749</c:v>
                </c:pt>
                <c:pt idx="2">
                  <c:v>0.20225704101877942</c:v>
                </c:pt>
                <c:pt idx="3">
                  <c:v>0.20148415583598983</c:v>
                </c:pt>
                <c:pt idx="4">
                  <c:v>0.20085646398300358</c:v>
                </c:pt>
                <c:pt idx="5">
                  <c:v>0.20033450506388487</c:v>
                </c:pt>
                <c:pt idx="6">
                  <c:v>0.199892203311483</c:v>
                </c:pt>
                <c:pt idx="7">
                  <c:v>0.19951158146925965</c:v>
                </c:pt>
                <c:pt idx="8">
                  <c:v>0.19917981069419524</c:v>
                </c:pt>
                <c:pt idx="9">
                  <c:v>0.19888747033231063</c:v>
                </c:pt>
                <c:pt idx="10">
                  <c:v>0.19862747344472562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2F5-4FB9-985A-B71FC745F443}"/>
            </c:ext>
          </c:extLst>
        </c:ser>
        <c:ser>
          <c:idx val="3"/>
          <c:order val="3"/>
          <c:tx>
            <c:strRef>
              <c:f>Bachelier!$J$16</c:f>
              <c:strCache>
                <c:ptCount val="1"/>
                <c:pt idx="0">
                  <c:v>0.5%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Bachelier!$J$17:$J$27</c:f>
              <c:numCache>
                <c:formatCode>0.00000</c:formatCode>
                <c:ptCount val="11"/>
                <c:pt idx="0">
                  <c:v>0.21753342639963086</c:v>
                </c:pt>
                <c:pt idx="1">
                  <c:v>0.21232407477781787</c:v>
                </c:pt>
                <c:pt idx="2">
                  <c:v>0.20832163233185938</c:v>
                </c:pt>
                <c:pt idx="3">
                  <c:v>0.20513258578239726</c:v>
                </c:pt>
                <c:pt idx="4">
                  <c:v>0.20252061341751554</c:v>
                </c:pt>
                <c:pt idx="5">
                  <c:v>0.20033450506388459</c:v>
                </c:pt>
                <c:pt idx="6">
                  <c:v>0.19847264131187919</c:v>
                </c:pt>
                <c:pt idx="7">
                  <c:v>0.19686399870988783</c:v>
                </c:pt>
                <c:pt idx="8">
                  <c:v>0.19545731922895263</c:v>
                </c:pt>
                <c:pt idx="9">
                  <c:v>0.1942146061534139</c:v>
                </c:pt>
                <c:pt idx="10">
                  <c:v>0.19310704703985337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2F5-4FB9-985A-B71FC745F443}"/>
            </c:ext>
          </c:extLst>
        </c:ser>
        <c:ser>
          <c:idx val="4"/>
          <c:order val="4"/>
          <c:tx>
            <c:strRef>
              <c:f>Bachelier!$K$16</c:f>
              <c:strCache>
                <c:ptCount val="1"/>
                <c:pt idx="0">
                  <c:v>1.0%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Bachelier!$K$17:$K$27</c:f>
              <c:numCache>
                <c:formatCode>0.00000</c:formatCode>
                <c:ptCount val="11"/>
                <c:pt idx="0">
                  <c:v>0.22842877340888118</c:v>
                </c:pt>
                <c:pt idx="1">
                  <c:v>0.220042487848087</c:v>
                </c:pt>
                <c:pt idx="2">
                  <c:v>0.21352595448126899</c:v>
                </c:pt>
                <c:pt idx="3">
                  <c:v>0.20828841075427112</c:v>
                </c:pt>
                <c:pt idx="4">
                  <c:v>0.20396923372124492</c:v>
                </c:pt>
                <c:pt idx="5">
                  <c:v>0.20033450506388431</c:v>
                </c:pt>
                <c:pt idx="6">
                  <c:v>0.19722519604907374</c:v>
                </c:pt>
                <c:pt idx="7">
                  <c:v>0.19452905798415751</c:v>
                </c:pt>
                <c:pt idx="8">
                  <c:v>0.19216439022174575</c:v>
                </c:pt>
                <c:pt idx="9">
                  <c:v>0.19007018233400533</c:v>
                </c:pt>
                <c:pt idx="10">
                  <c:v>0.188199872884668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2F5-4FB9-985A-B71FC745F443}"/>
            </c:ext>
          </c:extLst>
        </c:ser>
        <c:ser>
          <c:idx val="5"/>
          <c:order val="5"/>
          <c:tx>
            <c:strRef>
              <c:f>Bachelier!$L$16</c:f>
              <c:strCache>
                <c:ptCount val="1"/>
                <c:pt idx="0">
                  <c:v>2.0%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Bachelier!$F$17:$F$27</c:f>
              <c:numCache>
                <c:formatCode>0.0%</c:formatCode>
                <c:ptCount val="11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1.7999999999999999E-2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2.5999999999999999E-2</c:v>
                </c:pt>
                <c:pt idx="9">
                  <c:v>2.8000000000000001E-2</c:v>
                </c:pt>
                <c:pt idx="10">
                  <c:v>0.03</c:v>
                </c:pt>
              </c:numCache>
            </c:numRef>
          </c:xVal>
          <c:yVal>
            <c:numRef>
              <c:f>Bachelier!$L$17:$L$27</c:f>
              <c:numCache>
                <c:formatCode>0.00000</c:formatCode>
                <c:ptCount val="11"/>
                <c:pt idx="0">
                  <c:v>0.24152560328762671</c:v>
                </c:pt>
                <c:pt idx="1">
                  <c:v>0.22942354153566988</c:v>
                </c:pt>
                <c:pt idx="2">
                  <c:v>0.21990857207864506</c:v>
                </c:pt>
                <c:pt idx="3">
                  <c:v>0.21218772239889949</c:v>
                </c:pt>
                <c:pt idx="4">
                  <c:v>0.20577039022223995</c:v>
                </c:pt>
                <c:pt idx="5">
                  <c:v>0.20033450506388498</c:v>
                </c:pt>
                <c:pt idx="6">
                  <c:v>0.19565874381465828</c:v>
                </c:pt>
                <c:pt idx="7">
                  <c:v>0.19158537519532562</c:v>
                </c:pt>
                <c:pt idx="8">
                  <c:v>0.18799859424240703</c:v>
                </c:pt>
                <c:pt idx="9">
                  <c:v>0.18481124403611743</c:v>
                </c:pt>
                <c:pt idx="10">
                  <c:v>0.1819563367950908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2F5-4FB9-985A-B71FC745F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39503"/>
        <c:axId val="604986127"/>
      </c:scatterChart>
      <c:valAx>
        <c:axId val="746439503"/>
        <c:scaling>
          <c:orientation val="minMax"/>
          <c:max val="3.0000000000000006E-2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986127"/>
        <c:crosses val="autoZero"/>
        <c:crossBetween val="midCat"/>
      </c:valAx>
      <c:valAx>
        <c:axId val="604986127"/>
        <c:scaling>
          <c:orientation val="minMax"/>
          <c:max val="0.25"/>
          <c:min val="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Black</a:t>
                </a:r>
                <a:r>
                  <a:rPr lang="en-SG" baseline="0"/>
                  <a:t> Implied Volatility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439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Delta,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Delta!$I$2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Delta!$E$3:$E$19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Delta!$I$3:$I$19</c:f>
              <c:numCache>
                <c:formatCode>0.0</c:formatCode>
                <c:ptCount val="17"/>
                <c:pt idx="0">
                  <c:v>1.8020028663081354E-30</c:v>
                </c:pt>
                <c:pt idx="1">
                  <c:v>9.5395176708178118E-16</c:v>
                </c:pt>
                <c:pt idx="2">
                  <c:v>1.6110395464149303E-9</c:v>
                </c:pt>
                <c:pt idx="3">
                  <c:v>3.7068165958527538E-6</c:v>
                </c:pt>
                <c:pt idx="4">
                  <c:v>3.8169879870480952E-4</c:v>
                </c:pt>
                <c:pt idx="5">
                  <c:v>7.0613327361399025E-3</c:v>
                </c:pt>
                <c:pt idx="6">
                  <c:v>4.6151286998280527E-2</c:v>
                </c:pt>
                <c:pt idx="7">
                  <c:v>0.15488190495460685</c:v>
                </c:pt>
                <c:pt idx="8">
                  <c:v>0.33476156420020331</c:v>
                </c:pt>
                <c:pt idx="9">
                  <c:v>0.53982783724038086</c:v>
                </c:pt>
                <c:pt idx="10">
                  <c:v>0.71787856181337872</c:v>
                </c:pt>
                <c:pt idx="11">
                  <c:v>0.84413718868248111</c:v>
                </c:pt>
                <c:pt idx="12">
                  <c:v>0.92099871078943352</c:v>
                </c:pt>
                <c:pt idx="13">
                  <c:v>0.96265482447677186</c:v>
                </c:pt>
                <c:pt idx="14">
                  <c:v>0.98330347803710083</c:v>
                </c:pt>
                <c:pt idx="15">
                  <c:v>0.99285754920686031</c:v>
                </c:pt>
                <c:pt idx="16">
                  <c:v>0.99704867885463955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6D-4342-9511-7EACDC46E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Delta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Gamma,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Gamma!$I$2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Gamma!$E$3:$E$19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Gamma!$I$3:$I$19</c:f>
              <c:numCache>
                <c:formatCode>0.000</c:formatCode>
                <c:ptCount val="17"/>
                <c:pt idx="0">
                  <c:v>1.0360843022560068E-29</c:v>
                </c:pt>
                <c:pt idx="1">
                  <c:v>1.9244275045590552E-15</c:v>
                </c:pt>
                <c:pt idx="2">
                  <c:v>1.6326128063251733E-9</c:v>
                </c:pt>
                <c:pt idx="3">
                  <c:v>2.1715031726568914E-6</c:v>
                </c:pt>
                <c:pt idx="4">
                  <c:v>1.383647374193081E-4</c:v>
                </c:pt>
                <c:pt idx="5">
                  <c:v>1.6364831365023313E-3</c:v>
                </c:pt>
                <c:pt idx="6">
                  <c:v>6.9093744614612262E-3</c:v>
                </c:pt>
                <c:pt idx="7">
                  <c:v>1.4885204180359324E-2</c:v>
                </c:pt>
                <c:pt idx="8">
                  <c:v>2.0234169895161358E-2</c:v>
                </c:pt>
                <c:pt idx="9">
                  <c:v>1.9847501420144908E-2</c:v>
                </c:pt>
                <c:pt idx="10">
                  <c:v>1.535673810337812E-2</c:v>
                </c:pt>
                <c:pt idx="11">
                  <c:v>9.9654506868773751E-3</c:v>
                </c:pt>
                <c:pt idx="12">
                  <c:v>5.6638249645857286E-3</c:v>
                </c:pt>
                <c:pt idx="13">
                  <c:v>2.9103830456733704E-3</c:v>
                </c:pt>
                <c:pt idx="14">
                  <c:v>1.383249070840975E-3</c:v>
                </c:pt>
                <c:pt idx="15">
                  <c:v>6.1923799421492731E-4</c:v>
                </c:pt>
                <c:pt idx="16">
                  <c:v>2.6574298317427747E-4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CF-43DA-BBB3-848C19A05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Gamma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Vega,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Vega!$I$2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Vega!$E$3:$E$19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Vega!$I$3:$I$19</c:f>
              <c:numCache>
                <c:formatCode>0.0</c:formatCode>
                <c:ptCount val="17"/>
                <c:pt idx="0">
                  <c:v>2.0736504738480499E-28</c:v>
                </c:pt>
                <c:pt idx="1">
                  <c:v>1.5398046440767393E-13</c:v>
                </c:pt>
                <c:pt idx="2">
                  <c:v>2.9388244062587311E-7</c:v>
                </c:pt>
                <c:pt idx="3">
                  <c:v>6.9489012783967828E-4</c:v>
                </c:pt>
                <c:pt idx="4">
                  <c:v>6.918299995080715E-2</c:v>
                </c:pt>
                <c:pt idx="5">
                  <c:v>1.1782550456210239</c:v>
                </c:pt>
                <c:pt idx="6">
                  <c:v>6.7712215489595939</c:v>
                </c:pt>
                <c:pt idx="7">
                  <c:v>19.053422199831747</c:v>
                </c:pt>
                <c:pt idx="8">
                  <c:v>32.779092375954107</c:v>
                </c:pt>
                <c:pt idx="9">
                  <c:v>39.695254731269003</c:v>
                </c:pt>
                <c:pt idx="10">
                  <c:v>37.163843368439586</c:v>
                </c:pt>
                <c:pt idx="11">
                  <c:v>28.699450581388675</c:v>
                </c:pt>
                <c:pt idx="12">
                  <c:v>19.143746343228685</c:v>
                </c:pt>
                <c:pt idx="13">
                  <c:v>11.407809595631591</c:v>
                </c:pt>
                <c:pt idx="14">
                  <c:v>6.2272820493447512</c:v>
                </c:pt>
                <c:pt idx="15">
                  <c:v>3.1738374221745858</c:v>
                </c:pt>
                <c:pt idx="16">
                  <c:v>1.5326031522988615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97-4B6F-A66C-E9DBB12C7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Vega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Rho,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Rho!$I$2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Rho!$E$3:$E$19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Rho!$I$3:$I$19</c:f>
              <c:numCache>
                <c:formatCode>0.0</c:formatCode>
                <c:ptCount val="17"/>
                <c:pt idx="0">
                  <c:v>1.7714257532059172E-29</c:v>
                </c:pt>
                <c:pt idx="1">
                  <c:v>1.8624027259700502E-14</c:v>
                </c:pt>
                <c:pt idx="2">
                  <c:v>4.682769188575278E-8</c:v>
                </c:pt>
                <c:pt idx="3">
                  <c:v>1.4242402047183629E-4</c:v>
                </c:pt>
                <c:pt idx="4">
                  <c:v>1.8141839996880377E-2</c:v>
                </c:pt>
                <c:pt idx="5">
                  <c:v>0.39756826354542252</c:v>
                </c:pt>
                <c:pt idx="6">
                  <c:v>2.9824806160445858</c:v>
                </c:pt>
                <c:pt idx="7">
                  <c:v>11.204623547924619</c:v>
                </c:pt>
                <c:pt idx="8">
                  <c:v>26.539433016206093</c:v>
                </c:pt>
                <c:pt idx="9">
                  <c:v>46.017215852831583</c:v>
                </c:pt>
                <c:pt idx="10">
                  <c:v>64.674629752508039</c:v>
                </c:pt>
                <c:pt idx="11">
                  <c:v>79.149162514635663</c:v>
                </c:pt>
                <c:pt idx="12">
                  <c:v>88.720959640564701</c:v>
                </c:pt>
                <c:pt idx="13">
                  <c:v>94.321642176282694</c:v>
                </c:pt>
                <c:pt idx="14">
                  <c:v>97.303045929990617</c:v>
                </c:pt>
                <c:pt idx="15">
                  <c:v>98.777610143088168</c:v>
                </c:pt>
                <c:pt idx="16">
                  <c:v>99.466219023227609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16-4312-BCD8-9429387D9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Rho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BS Theta, r=q=0, vol=0.2, K=100, T=1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Theta!$I$2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Theta!$E$3:$E$19</c:f>
              <c:numCache>
                <c:formatCode>General</c:formatCode>
                <c:ptCount val="17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</c:numCache>
            </c:numRef>
          </c:xVal>
          <c:yVal>
            <c:numRef>
              <c:f>Theta!$I$3:$I$19</c:f>
              <c:numCache>
                <c:formatCode>0.0</c:formatCode>
                <c:ptCount val="17"/>
                <c:pt idx="0">
                  <c:v>-1.0326840582158593E-29</c:v>
                </c:pt>
                <c:pt idx="1">
                  <c:v>-7.6854853315251618E-15</c:v>
                </c:pt>
                <c:pt idx="2">
                  <c:v>-1.4680451007206892E-8</c:v>
                </c:pt>
                <c:pt idx="3">
                  <c:v>-3.4726610605059806E-5</c:v>
                </c:pt>
                <c:pt idx="4">
                  <c:v>-3.4581831647822981E-3</c:v>
                </c:pt>
                <c:pt idx="5">
                  <c:v>-5.8904575870634412E-2</c:v>
                </c:pt>
                <c:pt idx="6">
                  <c:v>-0.33854269900671086</c:v>
                </c:pt>
                <c:pt idx="7">
                  <c:v>-0.95266560415363521</c:v>
                </c:pt>
                <c:pt idx="8">
                  <c:v>-1.6389846849040879</c:v>
                </c:pt>
                <c:pt idx="9">
                  <c:v>-1.9848128550981059</c:v>
                </c:pt>
                <c:pt idx="10">
                  <c:v>-1.8582285889845451</c:v>
                </c:pt>
                <c:pt idx="11">
                  <c:v>-1.4349790580148181</c:v>
                </c:pt>
                <c:pt idx="12">
                  <c:v>-0.95717039389597858</c:v>
                </c:pt>
                <c:pt idx="13">
                  <c:v>-0.57036453373626728</c:v>
                </c:pt>
                <c:pt idx="14">
                  <c:v>-0.31133991281961926</c:v>
                </c:pt>
                <c:pt idx="15">
                  <c:v>-0.15867387705981173</c:v>
                </c:pt>
                <c:pt idx="16">
                  <c:v>-7.6618517255155894E-2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C-49DC-8816-57D9E7F12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492240"/>
        <c:axId val="516072384"/>
      </c:scatterChart>
      <c:valAx>
        <c:axId val="713492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S(0)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072384"/>
        <c:crosses val="autoZero"/>
        <c:crossBetween val="midCat"/>
      </c:valAx>
      <c:valAx>
        <c:axId val="5160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Theta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49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59764</xdr:colOff>
      <xdr:row>0</xdr:row>
      <xdr:rowOff>167339</xdr:rowOff>
    </xdr:from>
    <xdr:to>
      <xdr:col>21</xdr:col>
      <xdr:colOff>246528</xdr:colOff>
      <xdr:row>22</xdr:row>
      <xdr:rowOff>141940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1E22A8-B449-44CC-98CE-4F63D7667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2</xdr:row>
      <xdr:rowOff>12700</xdr:rowOff>
    </xdr:from>
    <xdr:to>
      <xdr:col>12</xdr:col>
      <xdr:colOff>508000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45BF0-C1D7-4599-B8B9-E847F6BEC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12700</xdr:rowOff>
    </xdr:from>
    <xdr:to>
      <xdr:col>12</xdr:col>
      <xdr:colOff>495300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D62A7C-562C-4A6B-B775-429C47040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2</xdr:row>
      <xdr:rowOff>12700</xdr:rowOff>
    </xdr:from>
    <xdr:to>
      <xdr:col>12</xdr:col>
      <xdr:colOff>501650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0F46E-551A-479E-A6B1-60257B890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</xdr:colOff>
      <xdr:row>1</xdr:row>
      <xdr:rowOff>158750</xdr:rowOff>
    </xdr:from>
    <xdr:to>
      <xdr:col>12</xdr:col>
      <xdr:colOff>482600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9564CD-F148-499B-8FDB-586F963523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1</xdr:row>
      <xdr:rowOff>171450</xdr:rowOff>
    </xdr:from>
    <xdr:to>
      <xdr:col>12</xdr:col>
      <xdr:colOff>501650</xdr:colOff>
      <xdr:row>19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6620DD-BF48-40F1-9DDE-74FFD2B0E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M61"/>
  <sheetViews>
    <sheetView tabSelected="1" zoomScaleNormal="100" workbookViewId="0">
      <selection activeCell="I11" sqref="I11"/>
    </sheetView>
  </sheetViews>
  <sheetFormatPr defaultRowHeight="14.5" x14ac:dyDescent="0.35"/>
  <cols>
    <col min="6" max="6" width="13.81640625" customWidth="1"/>
    <col min="7" max="7" width="11.81640625" bestFit="1" customWidth="1"/>
    <col min="8" max="8" width="14.36328125" customWidth="1"/>
    <col min="9" max="9" width="10.26953125" customWidth="1"/>
    <col min="10" max="10" width="11.1796875" customWidth="1"/>
    <col min="11" max="11" width="15.26953125" customWidth="1"/>
    <col min="12" max="12" width="13.6328125" bestFit="1" customWidth="1"/>
  </cols>
  <sheetData>
    <row r="2" spans="2:13" x14ac:dyDescent="0.35">
      <c r="B2" t="s">
        <v>13</v>
      </c>
      <c r="C2">
        <v>10</v>
      </c>
      <c r="E2" t="s">
        <v>0</v>
      </c>
      <c r="F2" t="s">
        <v>24</v>
      </c>
      <c r="G2" t="s">
        <v>25</v>
      </c>
      <c r="H2" t="s">
        <v>27</v>
      </c>
      <c r="J2" t="s">
        <v>0</v>
      </c>
      <c r="K2" t="s">
        <v>24</v>
      </c>
      <c r="L2" t="s">
        <v>25</v>
      </c>
      <c r="M2" t="s">
        <v>27</v>
      </c>
    </row>
    <row r="3" spans="2:13" x14ac:dyDescent="0.35">
      <c r="E3">
        <v>1</v>
      </c>
      <c r="F3" s="12">
        <f>BlackCallPrice($C$2,0,0,$C$4,$C$7,E3)</f>
        <v>9</v>
      </c>
      <c r="G3" s="13">
        <f>BlackPutPrice($C$2,0,0,$C$4,$C$7,E3)</f>
        <v>3.0586701126034482E-32</v>
      </c>
      <c r="H3" s="4">
        <f>2*G3*(E4-E3)</f>
        <v>6.1173402252068965E-32</v>
      </c>
      <c r="I3" s="3"/>
      <c r="J3">
        <v>1</v>
      </c>
      <c r="K3" s="12">
        <f>BlackCallPrice($C$2,0,0,$C$4,$C$7,J3)</f>
        <v>9</v>
      </c>
      <c r="L3" s="13">
        <f>BlackPutPrice($C$2,0,0,$C$4,$C$7,J3)</f>
        <v>3.0586701126034482E-32</v>
      </c>
      <c r="M3" s="4">
        <f>2*L3*(J4-J3)</f>
        <v>3.0586701126034482E-32</v>
      </c>
    </row>
    <row r="4" spans="2:13" x14ac:dyDescent="0.35">
      <c r="B4" t="s">
        <v>8</v>
      </c>
      <c r="C4">
        <v>0.2</v>
      </c>
      <c r="E4">
        <v>2</v>
      </c>
      <c r="F4" s="12">
        <f t="shared" ref="F4:F34" si="0">BlackCallPrice($C$2,0,0,$C$4,$C$7,E4)</f>
        <v>8</v>
      </c>
      <c r="G4" s="13">
        <f>BlackPutPrice($C$2,0,0,$C$4,$C$7,E4)</f>
        <v>4.5505769201974302E-17</v>
      </c>
      <c r="H4" s="4">
        <f>2*G4*(E5-E4)</f>
        <v>9.1011538403948605E-17</v>
      </c>
      <c r="I4" s="3"/>
      <c r="J4">
        <v>1.5</v>
      </c>
      <c r="K4" s="12">
        <f t="shared" ref="K4:K61" si="1">BlackCallPrice($C$2,0,0,$C$4,$C$7,J4)</f>
        <v>8.5</v>
      </c>
      <c r="L4" s="13">
        <f>BlackPutPrice($C$2,0,0,$C$4,$C$7,J4)</f>
        <v>9.5852483370771817E-23</v>
      </c>
      <c r="M4" s="4">
        <f t="shared" ref="M4:M21" si="2">2*L4*(J5-J4)</f>
        <v>9.5852483370771817E-23</v>
      </c>
    </row>
    <row r="5" spans="2:13" x14ac:dyDescent="0.35">
      <c r="B5" t="s">
        <v>1</v>
      </c>
      <c r="C5">
        <v>0</v>
      </c>
      <c r="E5">
        <v>3</v>
      </c>
      <c r="F5" s="12">
        <f t="shared" si="0"/>
        <v>7.0000000001503562</v>
      </c>
      <c r="G5" s="13">
        <f>BlackPutPrice($C$2,0,0,$C$4,$C$7,E5)</f>
        <v>1.5035646042794668E-10</v>
      </c>
      <c r="H5" s="4">
        <f>2*G5*(E6-E5)</f>
        <v>3.0071292085589336E-10</v>
      </c>
      <c r="I5" s="3"/>
      <c r="J5">
        <v>2</v>
      </c>
      <c r="K5" s="12">
        <f t="shared" si="1"/>
        <v>8</v>
      </c>
      <c r="L5" s="13">
        <f>BlackPutPrice($C$2,0,0,$C$4,$C$7,J5)</f>
        <v>4.5505769201974302E-17</v>
      </c>
      <c r="M5" s="4">
        <f t="shared" si="2"/>
        <v>4.5505769201974302E-17</v>
      </c>
    </row>
    <row r="6" spans="2:13" x14ac:dyDescent="0.35">
      <c r="B6" t="s">
        <v>2</v>
      </c>
      <c r="C6">
        <v>0</v>
      </c>
      <c r="E6">
        <v>4</v>
      </c>
      <c r="F6" s="12">
        <f t="shared" si="0"/>
        <v>6.0000005848767461</v>
      </c>
      <c r="G6" s="13">
        <f>BlackPutPrice($C$2,0,0,$C$4,$C$7,E6)</f>
        <v>5.8487674687639136E-7</v>
      </c>
      <c r="H6" s="4">
        <f>2*G6*(E7-E6)</f>
        <v>1.1697534937527827E-6</v>
      </c>
      <c r="I6" s="3"/>
      <c r="J6">
        <v>2.5</v>
      </c>
      <c r="K6" s="12">
        <f t="shared" si="1"/>
        <v>7.5000000000002878</v>
      </c>
      <c r="L6" s="13">
        <f>BlackPutPrice($C$2,0,0,$C$4,$C$7,J6)</f>
        <v>2.8766814863239849E-13</v>
      </c>
      <c r="M6" s="4">
        <f t="shared" si="2"/>
        <v>2.8766814863239849E-13</v>
      </c>
    </row>
    <row r="7" spans="2:13" x14ac:dyDescent="0.35">
      <c r="B7" t="s">
        <v>6</v>
      </c>
      <c r="C7">
        <v>1</v>
      </c>
      <c r="E7">
        <v>5</v>
      </c>
      <c r="F7" s="12">
        <f t="shared" si="0"/>
        <v>5.0000943109088078</v>
      </c>
      <c r="G7" s="13">
        <f>BlackPutPrice($C$2,0,0,$C$4,$C$7,E7)</f>
        <v>9.4310908807501703E-5</v>
      </c>
      <c r="H7" s="4">
        <f>2*G7*(E8-E7)</f>
        <v>1.8862181761500341E-4</v>
      </c>
      <c r="I7" s="3"/>
      <c r="J7">
        <v>3</v>
      </c>
      <c r="K7" s="12">
        <f t="shared" si="1"/>
        <v>7.0000000001503562</v>
      </c>
      <c r="L7" s="13">
        <f>BlackPutPrice($C$2,0,0,$C$4,$C$7,J7)</f>
        <v>1.5035646042794668E-10</v>
      </c>
      <c r="M7" s="4">
        <f t="shared" si="2"/>
        <v>1.5035646042794668E-10</v>
      </c>
    </row>
    <row r="8" spans="2:13" x14ac:dyDescent="0.35">
      <c r="E8">
        <v>6</v>
      </c>
      <c r="F8" s="12">
        <f t="shared" si="0"/>
        <v>4.0026111811907237</v>
      </c>
      <c r="G8" s="13">
        <f t="shared" ref="G8:G21" si="3">BlackPutPrice($C$2,0,0,$C$4,$C$7,E8)</f>
        <v>2.6111811907240587E-3</v>
      </c>
      <c r="H8" s="4">
        <f t="shared" ref="H4:H12" si="4">2*G8*(E9-E8)</f>
        <v>5.2223623814481174E-3</v>
      </c>
      <c r="I8" s="3"/>
      <c r="J8">
        <v>3.5</v>
      </c>
      <c r="K8" s="12">
        <f t="shared" si="1"/>
        <v>6.5000000160803362</v>
      </c>
      <c r="L8" s="13">
        <f t="shared" ref="L8:L21" si="5">BlackPutPrice($C$2,0,0,$C$4,$C$7,J8)</f>
        <v>1.6080336496430046E-8</v>
      </c>
      <c r="M8" s="4">
        <f t="shared" si="2"/>
        <v>1.6080336496430046E-8</v>
      </c>
    </row>
    <row r="9" spans="2:13" x14ac:dyDescent="0.35">
      <c r="B9" t="s">
        <v>26</v>
      </c>
      <c r="C9" s="12">
        <f>C2^2*EXP(C4^2*C7)</f>
        <v>104.08107741923882</v>
      </c>
      <c r="E9">
        <v>7</v>
      </c>
      <c r="F9" s="12">
        <f t="shared" si="0"/>
        <v>3.0248109896892448</v>
      </c>
      <c r="G9" s="13">
        <f t="shared" si="3"/>
        <v>2.4810989689245055E-2</v>
      </c>
      <c r="H9" s="4">
        <f t="shared" si="4"/>
        <v>4.9621979378490111E-2</v>
      </c>
      <c r="I9" s="3"/>
      <c r="J9">
        <v>4</v>
      </c>
      <c r="K9" s="12">
        <f t="shared" si="1"/>
        <v>6.0000005848767461</v>
      </c>
      <c r="L9" s="13">
        <f t="shared" si="5"/>
        <v>5.8487674687639136E-7</v>
      </c>
      <c r="M9" s="4">
        <f t="shared" si="2"/>
        <v>5.8487674687639136E-7</v>
      </c>
    </row>
    <row r="10" spans="2:13" x14ac:dyDescent="0.35">
      <c r="E10">
        <v>8</v>
      </c>
      <c r="F10" s="12">
        <f t="shared" si="0"/>
        <v>2.118592951321042</v>
      </c>
      <c r="G10" s="13">
        <f t="shared" si="3"/>
        <v>0.11859295132104242</v>
      </c>
      <c r="H10" s="4">
        <f t="shared" si="4"/>
        <v>0.23718590264208483</v>
      </c>
      <c r="I10" s="3"/>
      <c r="J10">
        <v>4.5</v>
      </c>
      <c r="K10" s="12">
        <f t="shared" si="1"/>
        <v>5.5000098635020658</v>
      </c>
      <c r="L10" s="13">
        <f t="shared" si="5"/>
        <v>9.8635020661263953E-6</v>
      </c>
      <c r="M10" s="4">
        <f t="shared" si="2"/>
        <v>9.8635020661263953E-6</v>
      </c>
    </row>
    <row r="11" spans="2:13" x14ac:dyDescent="0.35">
      <c r="B11" t="s">
        <v>28</v>
      </c>
      <c r="C11">
        <f>C2^2</f>
        <v>100</v>
      </c>
      <c r="E11">
        <v>9</v>
      </c>
      <c r="F11" s="12">
        <f t="shared" si="0"/>
        <v>1.3589108116054798</v>
      </c>
      <c r="G11" s="13">
        <f t="shared" si="3"/>
        <v>0.35891081160548</v>
      </c>
      <c r="H11" s="4">
        <f t="shared" si="4"/>
        <v>0.71782162321095999</v>
      </c>
      <c r="I11" s="3"/>
      <c r="J11">
        <v>5</v>
      </c>
      <c r="K11" s="12">
        <f t="shared" si="1"/>
        <v>5.0000943109088078</v>
      </c>
      <c r="L11" s="13">
        <f t="shared" si="5"/>
        <v>9.4310908807501703E-5</v>
      </c>
      <c r="M11" s="4">
        <f t="shared" si="2"/>
        <v>9.4310908807501703E-5</v>
      </c>
    </row>
    <row r="12" spans="2:13" x14ac:dyDescent="0.35">
      <c r="C12" s="1">
        <f>SUM(H3:H34)</f>
        <v>4.2477439681182423</v>
      </c>
      <c r="D12" s="12">
        <f>SUM(M3:M61)</f>
        <v>4.1227433538052489</v>
      </c>
      <c r="E12">
        <v>10</v>
      </c>
      <c r="F12" s="12">
        <f t="shared" si="0"/>
        <v>0.79655674554057976</v>
      </c>
      <c r="G12" s="13">
        <f t="shared" si="3"/>
        <v>0.79655674554057931</v>
      </c>
      <c r="H12" s="4">
        <f t="shared" si="4"/>
        <v>1.5931134910811586</v>
      </c>
      <c r="I12" s="3"/>
      <c r="J12">
        <v>5.5</v>
      </c>
      <c r="K12" s="12">
        <f t="shared" si="1"/>
        <v>4.5005863277009857</v>
      </c>
      <c r="L12" s="13">
        <f t="shared" si="5"/>
        <v>5.8632770098534376E-4</v>
      </c>
      <c r="M12" s="4">
        <f t="shared" si="2"/>
        <v>5.8632770098534376E-4</v>
      </c>
    </row>
    <row r="13" spans="2:13" x14ac:dyDescent="0.35">
      <c r="C13" s="12">
        <f>C11+C12</f>
        <v>104.24774396811824</v>
      </c>
      <c r="D13" s="12">
        <f>C11+D12</f>
        <v>104.12274335380525</v>
      </c>
      <c r="E13">
        <v>11</v>
      </c>
      <c r="F13" s="13">
        <f t="shared" si="0"/>
        <v>0.42920109414098861</v>
      </c>
      <c r="G13" s="12">
        <f t="shared" si="3"/>
        <v>1.4292010941409883</v>
      </c>
      <c r="H13" s="4">
        <f>2*F13*(E14-E13)</f>
        <v>0.85840218828197723</v>
      </c>
      <c r="I13" s="3"/>
      <c r="J13">
        <v>6</v>
      </c>
      <c r="K13" s="12">
        <f t="shared" si="1"/>
        <v>4.0026111811907237</v>
      </c>
      <c r="L13" s="13">
        <f t="shared" si="5"/>
        <v>2.6111811907240587E-3</v>
      </c>
      <c r="M13" s="4">
        <f t="shared" si="2"/>
        <v>2.6111811907240587E-3</v>
      </c>
    </row>
    <row r="14" spans="2:13" x14ac:dyDescent="0.35">
      <c r="E14">
        <v>12</v>
      </c>
      <c r="F14" s="13">
        <f t="shared" si="0"/>
        <v>0.21472988105781454</v>
      </c>
      <c r="G14" s="12">
        <f t="shared" si="3"/>
        <v>2.2147298810578144</v>
      </c>
      <c r="H14" s="4">
        <f t="shared" ref="H14:H21" si="6">2*F14*(E15-E14)</f>
        <v>0.42945976211562908</v>
      </c>
      <c r="I14" s="3"/>
      <c r="J14">
        <v>6.5</v>
      </c>
      <c r="K14" s="12">
        <f t="shared" si="1"/>
        <v>3.5089401584110824</v>
      </c>
      <c r="L14" s="13">
        <f t="shared" si="5"/>
        <v>8.9401584110823523E-3</v>
      </c>
      <c r="M14" s="4">
        <f t="shared" si="2"/>
        <v>8.9401584110823523E-3</v>
      </c>
    </row>
    <row r="15" spans="2:13" x14ac:dyDescent="0.35">
      <c r="E15">
        <v>13</v>
      </c>
      <c r="F15" s="13">
        <f t="shared" si="0"/>
        <v>0.10088716159685965</v>
      </c>
      <c r="G15" s="12">
        <f t="shared" si="3"/>
        <v>3.1008871615968605</v>
      </c>
      <c r="H15" s="4">
        <f t="shared" si="6"/>
        <v>0.2017743231937193</v>
      </c>
      <c r="I15" s="3"/>
      <c r="J15">
        <v>7</v>
      </c>
      <c r="K15" s="12">
        <f t="shared" si="1"/>
        <v>3.0248109896892448</v>
      </c>
      <c r="L15" s="13">
        <f t="shared" si="5"/>
        <v>2.4810989689245055E-2</v>
      </c>
      <c r="M15" s="4">
        <f t="shared" si="2"/>
        <v>2.4810989689245055E-2</v>
      </c>
    </row>
    <row r="16" spans="2:13" x14ac:dyDescent="0.35">
      <c r="E16">
        <v>14</v>
      </c>
      <c r="F16" s="13">
        <f t="shared" si="0"/>
        <v>4.5003245190810753E-2</v>
      </c>
      <c r="G16" s="12">
        <f t="shared" si="3"/>
        <v>4.0450032451908111</v>
      </c>
      <c r="H16" s="4">
        <f t="shared" si="6"/>
        <v>9.0006490381621507E-2</v>
      </c>
      <c r="I16" s="3"/>
      <c r="J16">
        <v>7.5</v>
      </c>
      <c r="K16" s="12">
        <f t="shared" si="1"/>
        <v>2.5581185846275547</v>
      </c>
      <c r="L16" s="13">
        <f t="shared" si="5"/>
        <v>5.8118584627555148E-2</v>
      </c>
      <c r="M16" s="4">
        <f t="shared" si="2"/>
        <v>5.8118584627555148E-2</v>
      </c>
    </row>
    <row r="17" spans="5:13" x14ac:dyDescent="0.35">
      <c r="E17">
        <v>15</v>
      </c>
      <c r="F17" s="13">
        <f t="shared" si="0"/>
        <v>1.9247532329705365E-2</v>
      </c>
      <c r="G17" s="12">
        <f t="shared" si="3"/>
        <v>5.0192475323297057</v>
      </c>
      <c r="H17" s="4">
        <f t="shared" si="6"/>
        <v>3.849506465941073E-2</v>
      </c>
      <c r="I17" s="3"/>
      <c r="J17">
        <v>8</v>
      </c>
      <c r="K17" s="12">
        <f t="shared" si="1"/>
        <v>2.118592951321042</v>
      </c>
      <c r="L17" s="13">
        <f t="shared" si="5"/>
        <v>0.11859295132104242</v>
      </c>
      <c r="M17" s="4">
        <f t="shared" si="2"/>
        <v>0.11859295132104242</v>
      </c>
    </row>
    <row r="18" spans="5:13" x14ac:dyDescent="0.35">
      <c r="E18">
        <v>16</v>
      </c>
      <c r="F18" s="13">
        <f t="shared" si="0"/>
        <v>7.9597547965557236E-3</v>
      </c>
      <c r="G18" s="12">
        <f t="shared" si="3"/>
        <v>6.0079597547965555</v>
      </c>
      <c r="H18" s="4">
        <f t="shared" si="6"/>
        <v>1.5919509593111447E-2</v>
      </c>
      <c r="I18" s="3"/>
      <c r="J18">
        <v>8.5</v>
      </c>
      <c r="K18" s="12">
        <f t="shared" si="1"/>
        <v>1.7161318033422144</v>
      </c>
      <c r="L18" s="13">
        <f t="shared" si="5"/>
        <v>0.21613180334221394</v>
      </c>
      <c r="M18" s="4">
        <f t="shared" si="2"/>
        <v>0.21613180334221394</v>
      </c>
    </row>
    <row r="19" spans="5:13" x14ac:dyDescent="0.35">
      <c r="E19">
        <v>17</v>
      </c>
      <c r="F19" s="13">
        <f t="shared" si="0"/>
        <v>3.2056366164529503E-3</v>
      </c>
      <c r="G19" s="12">
        <f t="shared" si="3"/>
        <v>7.0032056366164532</v>
      </c>
      <c r="H19" s="4">
        <f t="shared" si="6"/>
        <v>6.4112732329059006E-3</v>
      </c>
      <c r="I19" s="3"/>
      <c r="J19">
        <v>9</v>
      </c>
      <c r="K19" s="12">
        <f t="shared" si="1"/>
        <v>1.3589108116054798</v>
      </c>
      <c r="L19" s="13">
        <f t="shared" si="5"/>
        <v>0.35891081160548</v>
      </c>
      <c r="M19" s="4">
        <f t="shared" si="2"/>
        <v>0.35891081160548</v>
      </c>
    </row>
    <row r="20" spans="5:13" x14ac:dyDescent="0.35">
      <c r="E20">
        <v>18</v>
      </c>
      <c r="F20" s="13">
        <f t="shared" si="0"/>
        <v>1.2647415925800924E-3</v>
      </c>
      <c r="G20" s="12">
        <f t="shared" si="3"/>
        <v>8.0012647415925802</v>
      </c>
      <c r="H20" s="4">
        <f t="shared" si="6"/>
        <v>2.5294831851601848E-3</v>
      </c>
      <c r="J20">
        <v>9.5</v>
      </c>
      <c r="K20" s="12">
        <f t="shared" si="1"/>
        <v>1.0519541063676976</v>
      </c>
      <c r="L20" s="13">
        <f t="shared" si="5"/>
        <v>0.55195410636769715</v>
      </c>
      <c r="M20" s="4">
        <f t="shared" si="2"/>
        <v>0.55195410636769715</v>
      </c>
    </row>
    <row r="21" spans="5:13" x14ac:dyDescent="0.35">
      <c r="E21">
        <v>19</v>
      </c>
      <c r="F21" s="13">
        <f t="shared" si="0"/>
        <v>4.9125162059245812E-4</v>
      </c>
      <c r="G21" s="12">
        <f t="shared" si="3"/>
        <v>9.0004912516205895</v>
      </c>
      <c r="H21" s="4">
        <f t="shared" si="6"/>
        <v>9.8250324118491624E-4</v>
      </c>
      <c r="J21">
        <v>10</v>
      </c>
      <c r="K21" s="12">
        <f t="shared" si="1"/>
        <v>0.79655674554057976</v>
      </c>
      <c r="L21" s="13">
        <f t="shared" si="5"/>
        <v>0.79655674554057931</v>
      </c>
      <c r="M21" s="4">
        <f t="shared" si="2"/>
        <v>0.79655674554057931</v>
      </c>
    </row>
    <row r="22" spans="5:13" x14ac:dyDescent="0.35">
      <c r="E22">
        <v>20</v>
      </c>
      <c r="F22" s="13">
        <f t="shared" si="0"/>
        <v>1.8862181761500839E-4</v>
      </c>
      <c r="G22" s="12">
        <f>BlackPutPrice($C$2,0,0,$C$4,$C$7,E22)</f>
        <v>10.000188621817617</v>
      </c>
      <c r="H22" s="4">
        <f>2*F22*(E23-E22)</f>
        <v>3.7724363523001679E-4</v>
      </c>
      <c r="J22">
        <v>10.5</v>
      </c>
      <c r="K22" s="13">
        <f t="shared" si="1"/>
        <v>0.59055934715554947</v>
      </c>
      <c r="L22" s="12">
        <f>BlackPutPrice($C$2,0,0,$C$4,$C$7,J22)</f>
        <v>1.0905593471555495</v>
      </c>
      <c r="M22" s="4">
        <f>2*K22*(J23-J22)</f>
        <v>0.59055934715554947</v>
      </c>
    </row>
    <row r="23" spans="5:13" x14ac:dyDescent="0.35">
      <c r="E23">
        <v>21</v>
      </c>
      <c r="F23" s="13">
        <f t="shared" si="0"/>
        <v>7.1833770207977883E-5</v>
      </c>
      <c r="G23" s="12">
        <f t="shared" ref="G23:G34" si="7">BlackPutPrice($C$2,0,0,$C$4,$C$7,E23)</f>
        <v>11.000071833770209</v>
      </c>
      <c r="H23" s="4">
        <f t="shared" ref="H23:H34" si="8">2*F23*(E24-E23)</f>
        <v>1.4366754041595577E-4</v>
      </c>
      <c r="J23">
        <v>11</v>
      </c>
      <c r="K23" s="13">
        <f t="shared" si="1"/>
        <v>0.42920109414098861</v>
      </c>
      <c r="L23" s="12">
        <f t="shared" ref="L23:L61" si="9">BlackPutPrice($C$2,0,0,$C$4,$C$7,J23)</f>
        <v>1.4292010941409883</v>
      </c>
      <c r="M23" s="4">
        <f t="shared" ref="M23:M40" si="10">2*K23*(J24-J23)</f>
        <v>0.42920109414098861</v>
      </c>
    </row>
    <row r="24" spans="5:13" x14ac:dyDescent="0.35">
      <c r="E24">
        <v>22</v>
      </c>
      <c r="F24" s="13">
        <f t="shared" si="0"/>
        <v>2.720964276586966E-5</v>
      </c>
      <c r="G24" s="12">
        <f t="shared" si="7"/>
        <v>12.000027209642765</v>
      </c>
      <c r="H24" s="4">
        <f t="shared" si="8"/>
        <v>5.441928553173932E-5</v>
      </c>
      <c r="J24">
        <v>11.5</v>
      </c>
      <c r="K24" s="13">
        <f t="shared" si="1"/>
        <v>0.30619456597445105</v>
      </c>
      <c r="L24" s="12">
        <f t="shared" si="9"/>
        <v>1.8061945659744527</v>
      </c>
      <c r="M24" s="4">
        <f t="shared" si="10"/>
        <v>0.30619456597445105</v>
      </c>
    </row>
    <row r="25" spans="5:13" x14ac:dyDescent="0.35">
      <c r="E25">
        <v>23</v>
      </c>
      <c r="F25" s="13">
        <f t="shared" si="0"/>
        <v>1.0274799123864046E-5</v>
      </c>
      <c r="G25" s="12">
        <f t="shared" si="7"/>
        <v>13.000010274799124</v>
      </c>
      <c r="H25" s="4">
        <f t="shared" si="8"/>
        <v>2.0549598247728092E-5</v>
      </c>
      <c r="J25">
        <v>12</v>
      </c>
      <c r="K25" s="13">
        <f t="shared" si="1"/>
        <v>0.21472988105781454</v>
      </c>
      <c r="L25" s="12">
        <f t="shared" si="9"/>
        <v>2.2147298810578144</v>
      </c>
      <c r="M25" s="4">
        <f t="shared" si="10"/>
        <v>0.21472988105781454</v>
      </c>
    </row>
    <row r="26" spans="5:13" x14ac:dyDescent="0.35">
      <c r="E26">
        <v>24</v>
      </c>
      <c r="F26" s="13">
        <f t="shared" si="0"/>
        <v>3.8753069865951234E-6</v>
      </c>
      <c r="G26" s="12">
        <f t="shared" si="7"/>
        <v>14.000003875306987</v>
      </c>
      <c r="H26" s="4">
        <f t="shared" si="8"/>
        <v>7.7506139731902467E-6</v>
      </c>
      <c r="J26">
        <v>12.5</v>
      </c>
      <c r="K26" s="13">
        <f t="shared" si="1"/>
        <v>0.14824118915130344</v>
      </c>
      <c r="L26" s="12">
        <f t="shared" si="9"/>
        <v>2.6482411891513031</v>
      </c>
      <c r="M26" s="4">
        <f t="shared" si="10"/>
        <v>0.14824118915130344</v>
      </c>
    </row>
    <row r="27" spans="5:13" x14ac:dyDescent="0.35">
      <c r="E27">
        <v>25</v>
      </c>
      <c r="F27" s="13">
        <f t="shared" si="0"/>
        <v>1.4621918671909784E-6</v>
      </c>
      <c r="G27" s="12">
        <f t="shared" si="7"/>
        <v>15.000001462191866</v>
      </c>
      <c r="H27" s="4">
        <f t="shared" si="8"/>
        <v>2.9243837343819568E-6</v>
      </c>
      <c r="J27">
        <v>13</v>
      </c>
      <c r="K27" s="13">
        <f t="shared" si="1"/>
        <v>0.10088716159685965</v>
      </c>
      <c r="L27" s="12">
        <f t="shared" si="9"/>
        <v>3.1008871615968605</v>
      </c>
      <c r="M27" s="4">
        <f t="shared" si="10"/>
        <v>0.10088716159685965</v>
      </c>
    </row>
    <row r="28" spans="5:13" x14ac:dyDescent="0.35">
      <c r="E28">
        <v>26</v>
      </c>
      <c r="F28" s="13">
        <f t="shared" si="0"/>
        <v>5.5262846712689426E-7</v>
      </c>
      <c r="G28" s="12">
        <f t="shared" si="7"/>
        <v>16.000000552628464</v>
      </c>
      <c r="H28" s="4">
        <f t="shared" si="8"/>
        <v>1.1052569342537885E-6</v>
      </c>
      <c r="J28">
        <v>13.5</v>
      </c>
      <c r="K28" s="13">
        <f t="shared" si="1"/>
        <v>6.7776195334004447E-2</v>
      </c>
      <c r="L28" s="12">
        <f t="shared" si="9"/>
        <v>3.5677761953340053</v>
      </c>
      <c r="M28" s="4">
        <f t="shared" si="10"/>
        <v>6.7776195334004447E-2</v>
      </c>
    </row>
    <row r="29" spans="5:13" x14ac:dyDescent="0.35">
      <c r="E29">
        <v>27</v>
      </c>
      <c r="F29" s="13">
        <f t="shared" si="0"/>
        <v>2.0944020716285578E-7</v>
      </c>
      <c r="G29" s="12">
        <f t="shared" si="7"/>
        <v>17.000000209440209</v>
      </c>
      <c r="H29" s="4">
        <f t="shared" si="8"/>
        <v>4.1888041432571156E-7</v>
      </c>
      <c r="J29">
        <v>14</v>
      </c>
      <c r="K29" s="13">
        <f t="shared" si="1"/>
        <v>4.5003245190810753E-2</v>
      </c>
      <c r="L29" s="12">
        <f t="shared" si="9"/>
        <v>4.0450032451908111</v>
      </c>
      <c r="M29" s="4">
        <f t="shared" si="10"/>
        <v>4.5003245190810753E-2</v>
      </c>
    </row>
    <row r="30" spans="5:13" x14ac:dyDescent="0.35">
      <c r="E30">
        <v>28</v>
      </c>
      <c r="F30" s="13">
        <f t="shared" si="0"/>
        <v>7.9665578452990386E-8</v>
      </c>
      <c r="G30" s="12">
        <f t="shared" si="7"/>
        <v>18.000000079665579</v>
      </c>
      <c r="H30" s="4">
        <f t="shared" si="8"/>
        <v>1.5933115690598077E-7</v>
      </c>
      <c r="J30">
        <v>14.5</v>
      </c>
      <c r="K30" s="13">
        <f t="shared" si="1"/>
        <v>2.9569957395393524E-2</v>
      </c>
      <c r="L30" s="12">
        <f t="shared" si="9"/>
        <v>4.5295699573953936</v>
      </c>
      <c r="M30" s="4">
        <f t="shared" si="10"/>
        <v>2.9569957395393524E-2</v>
      </c>
    </row>
    <row r="31" spans="5:13" x14ac:dyDescent="0.35">
      <c r="E31">
        <v>29</v>
      </c>
      <c r="F31" s="13">
        <f t="shared" si="0"/>
        <v>3.0435704235315964E-8</v>
      </c>
      <c r="G31" s="12">
        <f t="shared" si="7"/>
        <v>19.000000030435707</v>
      </c>
      <c r="H31" s="4">
        <f t="shared" si="8"/>
        <v>6.0871408470631928E-8</v>
      </c>
      <c r="J31">
        <v>15</v>
      </c>
      <c r="K31" s="13">
        <f t="shared" si="1"/>
        <v>1.9247532329705365E-2</v>
      </c>
      <c r="L31" s="12">
        <f t="shared" si="9"/>
        <v>5.0192475323297057</v>
      </c>
      <c r="M31" s="4">
        <f t="shared" si="10"/>
        <v>1.9247532329705365E-2</v>
      </c>
    </row>
    <row r="32" spans="5:13" x14ac:dyDescent="0.35">
      <c r="E32">
        <v>30</v>
      </c>
      <c r="F32" s="13">
        <f t="shared" si="0"/>
        <v>1.168582763137154E-8</v>
      </c>
      <c r="G32" s="12">
        <f t="shared" si="7"/>
        <v>20.000000011685827</v>
      </c>
      <c r="H32" s="4">
        <f t="shared" si="8"/>
        <v>2.3371655262743081E-8</v>
      </c>
      <c r="J32">
        <v>15.5</v>
      </c>
      <c r="K32" s="13">
        <f t="shared" si="1"/>
        <v>1.2423867404670347E-2</v>
      </c>
      <c r="L32" s="12">
        <f t="shared" si="9"/>
        <v>5.5124238674046708</v>
      </c>
      <c r="M32" s="4">
        <f t="shared" si="10"/>
        <v>1.2423867404670347E-2</v>
      </c>
    </row>
    <row r="33" spans="5:13" x14ac:dyDescent="0.35">
      <c r="E33">
        <v>31</v>
      </c>
      <c r="F33" s="13">
        <f t="shared" si="0"/>
        <v>4.5114186135438005E-9</v>
      </c>
      <c r="G33" s="12">
        <f t="shared" si="7"/>
        <v>21.000000004511421</v>
      </c>
      <c r="H33" s="4">
        <f>2*F33*(E34-E33)</f>
        <v>9.022837227087601E-9</v>
      </c>
      <c r="J33">
        <v>16</v>
      </c>
      <c r="K33" s="13">
        <f t="shared" si="1"/>
        <v>7.9597547965557236E-3</v>
      </c>
      <c r="L33" s="12">
        <f t="shared" si="9"/>
        <v>6.0079597547965555</v>
      </c>
      <c r="M33" s="4">
        <f t="shared" si="10"/>
        <v>7.9597547965557236E-3</v>
      </c>
    </row>
    <row r="34" spans="5:13" x14ac:dyDescent="0.35">
      <c r="E34">
        <v>32</v>
      </c>
      <c r="F34" s="14">
        <f t="shared" si="0"/>
        <v>1.7519371776667715E-9</v>
      </c>
      <c r="G34" s="12">
        <f t="shared" si="7"/>
        <v>22.000000001751935</v>
      </c>
      <c r="H34" s="4">
        <f>2*F34*(E35-E34)</f>
        <v>-1.1212397937067338E-7</v>
      </c>
      <c r="J34">
        <v>16.5</v>
      </c>
      <c r="K34" s="13">
        <f t="shared" si="1"/>
        <v>5.0660924175562807E-3</v>
      </c>
      <c r="L34" s="12">
        <f t="shared" si="9"/>
        <v>6.5050660924175574</v>
      </c>
      <c r="M34" s="4">
        <f t="shared" si="10"/>
        <v>5.0660924175562807E-3</v>
      </c>
    </row>
    <row r="35" spans="5:13" x14ac:dyDescent="0.35">
      <c r="J35">
        <v>17</v>
      </c>
      <c r="K35" s="13">
        <f t="shared" si="1"/>
        <v>3.2056366164529503E-3</v>
      </c>
      <c r="L35" s="12">
        <f t="shared" si="9"/>
        <v>7.0032056366164532</v>
      </c>
      <c r="M35" s="4">
        <f t="shared" si="10"/>
        <v>3.2056366164529503E-3</v>
      </c>
    </row>
    <row r="36" spans="5:13" x14ac:dyDescent="0.35">
      <c r="J36">
        <v>17.5</v>
      </c>
      <c r="K36" s="13">
        <f t="shared" si="1"/>
        <v>2.0180437934977473E-3</v>
      </c>
      <c r="L36" s="12">
        <f t="shared" si="9"/>
        <v>7.5020180437935</v>
      </c>
      <c r="M36" s="4">
        <f t="shared" si="10"/>
        <v>2.0180437934977473E-3</v>
      </c>
    </row>
    <row r="37" spans="5:13" x14ac:dyDescent="0.35">
      <c r="J37">
        <v>18</v>
      </c>
      <c r="K37" s="13">
        <f t="shared" si="1"/>
        <v>1.2647415925800924E-3</v>
      </c>
      <c r="L37" s="12">
        <f t="shared" si="9"/>
        <v>8.0012647415925802</v>
      </c>
      <c r="M37" s="4">
        <f t="shared" si="10"/>
        <v>1.2647415925800924E-3</v>
      </c>
    </row>
    <row r="38" spans="5:13" x14ac:dyDescent="0.35">
      <c r="J38">
        <v>18.5</v>
      </c>
      <c r="K38" s="13">
        <f t="shared" si="1"/>
        <v>7.8955513605447275E-4</v>
      </c>
      <c r="L38" s="12">
        <f t="shared" si="9"/>
        <v>8.5007895551360537</v>
      </c>
      <c r="M38" s="4">
        <f t="shared" si="10"/>
        <v>7.8955513605447275E-4</v>
      </c>
    </row>
    <row r="39" spans="5:13" x14ac:dyDescent="0.35">
      <c r="J39">
        <v>19</v>
      </c>
      <c r="K39" s="13">
        <f t="shared" si="1"/>
        <v>4.9125162059245812E-4</v>
      </c>
      <c r="L39" s="12">
        <f t="shared" si="9"/>
        <v>9.0004912516205895</v>
      </c>
      <c r="M39" s="4">
        <f t="shared" si="10"/>
        <v>4.9125162059245812E-4</v>
      </c>
    </row>
    <row r="40" spans="5:13" x14ac:dyDescent="0.35">
      <c r="J40">
        <v>19.5</v>
      </c>
      <c r="K40" s="13">
        <f t="shared" si="1"/>
        <v>3.0477318703176788E-4</v>
      </c>
      <c r="L40" s="12">
        <f t="shared" si="9"/>
        <v>9.5003047731870325</v>
      </c>
      <c r="M40" s="4">
        <f t="shared" si="10"/>
        <v>3.0477318703176788E-4</v>
      </c>
    </row>
    <row r="41" spans="5:13" x14ac:dyDescent="0.35">
      <c r="J41">
        <v>20</v>
      </c>
      <c r="K41" s="13">
        <f t="shared" si="1"/>
        <v>1.8862181761500839E-4</v>
      </c>
      <c r="L41" s="12">
        <f t="shared" si="9"/>
        <v>10.000188621817617</v>
      </c>
      <c r="M41" s="4">
        <f>2*K41*(J42-J41)</f>
        <v>1.8862181761500839E-4</v>
      </c>
    </row>
    <row r="42" spans="5:13" x14ac:dyDescent="0.35">
      <c r="J42">
        <v>20.5</v>
      </c>
      <c r="K42" s="13">
        <f t="shared" si="1"/>
        <v>1.1649928343068918E-4</v>
      </c>
      <c r="L42" s="12">
        <f t="shared" si="9"/>
        <v>10.500116499283433</v>
      </c>
      <c r="M42" s="4">
        <f t="shared" ref="M42:M61" si="11">2*K42*(J43-J42)</f>
        <v>1.1649928343068918E-4</v>
      </c>
    </row>
    <row r="43" spans="5:13" x14ac:dyDescent="0.35">
      <c r="J43">
        <v>21</v>
      </c>
      <c r="K43" s="13">
        <f t="shared" si="1"/>
        <v>7.1833770207977883E-5</v>
      </c>
      <c r="L43" s="12">
        <f t="shared" si="9"/>
        <v>11.000071833770209</v>
      </c>
      <c r="M43" s="4">
        <f t="shared" si="11"/>
        <v>7.1833770207977883E-5</v>
      </c>
    </row>
    <row r="44" spans="5:13" x14ac:dyDescent="0.35">
      <c r="J44">
        <v>21.5</v>
      </c>
      <c r="K44" s="13">
        <f t="shared" si="1"/>
        <v>4.4233539364259251E-5</v>
      </c>
      <c r="L44" s="12">
        <f t="shared" si="9"/>
        <v>11.500044233539365</v>
      </c>
      <c r="M44" s="4">
        <f t="shared" si="11"/>
        <v>4.4233539364259251E-5</v>
      </c>
    </row>
    <row r="45" spans="5:13" x14ac:dyDescent="0.35">
      <c r="J45">
        <v>22</v>
      </c>
      <c r="K45" s="13">
        <f t="shared" si="1"/>
        <v>2.720964276586966E-5</v>
      </c>
      <c r="L45" s="12">
        <f t="shared" si="9"/>
        <v>12.000027209642765</v>
      </c>
      <c r="M45" s="4">
        <f t="shared" si="11"/>
        <v>2.720964276586966E-5</v>
      </c>
    </row>
    <row r="46" spans="5:13" x14ac:dyDescent="0.35">
      <c r="J46">
        <v>22.5</v>
      </c>
      <c r="K46" s="13">
        <f t="shared" si="1"/>
        <v>1.672479326938649E-5</v>
      </c>
      <c r="L46" s="12">
        <f t="shared" si="9"/>
        <v>12.500016724793271</v>
      </c>
      <c r="M46" s="4">
        <f t="shared" si="11"/>
        <v>1.672479326938649E-5</v>
      </c>
    </row>
    <row r="47" spans="5:13" x14ac:dyDescent="0.35">
      <c r="J47">
        <v>23</v>
      </c>
      <c r="K47" s="13">
        <f t="shared" si="1"/>
        <v>1.0274799123864046E-5</v>
      </c>
      <c r="L47" s="12">
        <f t="shared" si="9"/>
        <v>13.000010274799124</v>
      </c>
      <c r="M47" s="4">
        <f t="shared" si="11"/>
        <v>1.0274799123864046E-5</v>
      </c>
    </row>
    <row r="48" spans="5:13" x14ac:dyDescent="0.35">
      <c r="J48">
        <v>23.5</v>
      </c>
      <c r="K48" s="13">
        <f t="shared" si="1"/>
        <v>6.3104264487285135E-6</v>
      </c>
      <c r="L48" s="12">
        <f t="shared" si="9"/>
        <v>13.500006310426448</v>
      </c>
      <c r="M48" s="4">
        <f t="shared" si="11"/>
        <v>6.3104264487285135E-6</v>
      </c>
    </row>
    <row r="49" spans="10:13" x14ac:dyDescent="0.35">
      <c r="J49">
        <v>24</v>
      </c>
      <c r="K49" s="13">
        <f t="shared" si="1"/>
        <v>3.8753069865951234E-6</v>
      </c>
      <c r="L49" s="12">
        <f t="shared" si="9"/>
        <v>14.000003875306987</v>
      </c>
      <c r="M49" s="4">
        <f t="shared" si="11"/>
        <v>3.8753069865951234E-6</v>
      </c>
    </row>
    <row r="50" spans="10:13" x14ac:dyDescent="0.35">
      <c r="J50">
        <v>24.5</v>
      </c>
      <c r="K50" s="13">
        <f t="shared" si="1"/>
        <v>2.3801083045689875E-6</v>
      </c>
      <c r="L50" s="12">
        <f t="shared" si="9"/>
        <v>14.500002380108304</v>
      </c>
      <c r="M50" s="4">
        <f t="shared" si="11"/>
        <v>2.3801083045689875E-6</v>
      </c>
    </row>
    <row r="51" spans="10:13" x14ac:dyDescent="0.35">
      <c r="J51">
        <v>25</v>
      </c>
      <c r="K51" s="13">
        <f t="shared" si="1"/>
        <v>1.4621918671909784E-6</v>
      </c>
      <c r="L51" s="12">
        <f t="shared" si="9"/>
        <v>15.000001462191866</v>
      </c>
      <c r="M51" s="4">
        <f t="shared" si="11"/>
        <v>1.4621918671909784E-6</v>
      </c>
    </row>
    <row r="52" spans="10:13" x14ac:dyDescent="0.35">
      <c r="J52">
        <v>25.5</v>
      </c>
      <c r="K52" s="13">
        <f t="shared" si="1"/>
        <v>8.9866161012508574E-7</v>
      </c>
      <c r="L52" s="12">
        <f t="shared" si="9"/>
        <v>15.500000898661609</v>
      </c>
      <c r="M52" s="4">
        <f t="shared" si="11"/>
        <v>8.9866161012508574E-7</v>
      </c>
    </row>
    <row r="53" spans="10:13" x14ac:dyDescent="0.35">
      <c r="J53">
        <v>26</v>
      </c>
      <c r="K53" s="13">
        <f t="shared" si="1"/>
        <v>5.5262846712689426E-7</v>
      </c>
      <c r="L53" s="12">
        <f t="shared" si="9"/>
        <v>16.000000552628464</v>
      </c>
      <c r="M53" s="4">
        <f t="shared" si="11"/>
        <v>5.5262846712689426E-7</v>
      </c>
    </row>
    <row r="54" spans="10:13" x14ac:dyDescent="0.35">
      <c r="J54">
        <v>26.5</v>
      </c>
      <c r="K54" s="13">
        <f t="shared" si="1"/>
        <v>3.4007214482696874E-7</v>
      </c>
      <c r="L54" s="12">
        <f t="shared" si="9"/>
        <v>16.500000340072141</v>
      </c>
      <c r="M54" s="4">
        <f t="shared" si="11"/>
        <v>3.4007214482696874E-7</v>
      </c>
    </row>
    <row r="55" spans="10:13" x14ac:dyDescent="0.35">
      <c r="J55">
        <v>27</v>
      </c>
      <c r="K55" s="13">
        <f t="shared" si="1"/>
        <v>2.0944020716285578E-7</v>
      </c>
      <c r="L55" s="12">
        <f t="shared" si="9"/>
        <v>17.000000209440209</v>
      </c>
      <c r="M55" s="4">
        <f t="shared" si="11"/>
        <v>2.0944020716285578E-7</v>
      </c>
    </row>
    <row r="56" spans="10:13" x14ac:dyDescent="0.35">
      <c r="J56">
        <v>27.5</v>
      </c>
      <c r="K56" s="13">
        <f t="shared" si="1"/>
        <v>1.2910589536740256E-7</v>
      </c>
      <c r="L56" s="12">
        <f t="shared" si="9"/>
        <v>17.500000129105892</v>
      </c>
      <c r="M56" s="4">
        <f t="shared" si="11"/>
        <v>1.2910589536740256E-7</v>
      </c>
    </row>
    <row r="57" spans="10:13" x14ac:dyDescent="0.35">
      <c r="J57">
        <v>28</v>
      </c>
      <c r="K57" s="13">
        <f t="shared" si="1"/>
        <v>7.9665578452990386E-8</v>
      </c>
      <c r="L57" s="12">
        <f t="shared" si="9"/>
        <v>18.000000079665579</v>
      </c>
      <c r="M57" s="4">
        <f t="shared" si="11"/>
        <v>7.9665578452990386E-8</v>
      </c>
    </row>
    <row r="58" spans="10:13" x14ac:dyDescent="0.35">
      <c r="J58">
        <v>28.5</v>
      </c>
      <c r="K58" s="13">
        <f t="shared" si="1"/>
        <v>4.9212081172025192E-8</v>
      </c>
      <c r="L58" s="12">
        <f t="shared" si="9"/>
        <v>18.500000049212083</v>
      </c>
      <c r="M58" s="4">
        <f t="shared" si="11"/>
        <v>4.9212081172025192E-8</v>
      </c>
    </row>
    <row r="59" spans="10:13" x14ac:dyDescent="0.35">
      <c r="J59">
        <v>29</v>
      </c>
      <c r="K59" s="13">
        <f t="shared" si="1"/>
        <v>3.0435704235315964E-8</v>
      </c>
      <c r="L59" s="12">
        <f t="shared" si="9"/>
        <v>19.000000030435707</v>
      </c>
      <c r="M59" s="4">
        <f t="shared" si="11"/>
        <v>3.0435704235315964E-8</v>
      </c>
    </row>
    <row r="60" spans="10:13" x14ac:dyDescent="0.35">
      <c r="J60">
        <v>29.5</v>
      </c>
      <c r="K60" s="13">
        <f t="shared" si="1"/>
        <v>1.8846755076806901E-8</v>
      </c>
      <c r="L60" s="12">
        <f t="shared" si="9"/>
        <v>19.500000018846755</v>
      </c>
      <c r="M60" s="4">
        <f t="shared" si="11"/>
        <v>1.8846755076806901E-8</v>
      </c>
    </row>
    <row r="61" spans="10:13" x14ac:dyDescent="0.35">
      <c r="J61">
        <v>30</v>
      </c>
      <c r="K61" s="13">
        <f t="shared" si="1"/>
        <v>1.168582763137154E-8</v>
      </c>
      <c r="L61" s="12">
        <f t="shared" si="9"/>
        <v>20.000000011685827</v>
      </c>
      <c r="M61" s="4">
        <f t="shared" si="11"/>
        <v>-7.0114965788229236E-7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M19"/>
  <sheetViews>
    <sheetView zoomScale="85" zoomScaleNormal="85" workbookViewId="0">
      <selection activeCell="E11" sqref="E11"/>
    </sheetView>
  </sheetViews>
  <sheetFormatPr defaultRowHeight="14.5" x14ac:dyDescent="0.35"/>
  <cols>
    <col min="6" max="6" width="13.81640625" customWidth="1"/>
    <col min="7" max="7" width="11.81640625" bestFit="1" customWidth="1"/>
    <col min="8" max="8" width="14.36328125" customWidth="1"/>
    <col min="9" max="9" width="10.26953125" customWidth="1"/>
    <col min="10" max="10" width="11.1796875" customWidth="1"/>
    <col min="11" max="11" width="15.26953125" customWidth="1"/>
    <col min="12" max="12" width="13.6328125" bestFit="1" customWidth="1"/>
  </cols>
  <sheetData>
    <row r="2" spans="2:13" x14ac:dyDescent="0.35">
      <c r="B2" t="s">
        <v>13</v>
      </c>
      <c r="C2">
        <v>100</v>
      </c>
      <c r="E2" t="s">
        <v>10</v>
      </c>
      <c r="F2" t="s">
        <v>9</v>
      </c>
      <c r="G2" t="s">
        <v>11</v>
      </c>
      <c r="H2" t="s">
        <v>12</v>
      </c>
    </row>
    <row r="3" spans="2:13" x14ac:dyDescent="0.35">
      <c r="B3" t="s">
        <v>0</v>
      </c>
      <c r="C3">
        <v>80</v>
      </c>
      <c r="E3">
        <v>0</v>
      </c>
      <c r="F3" s="5">
        <v>0.2</v>
      </c>
      <c r="G3" s="4">
        <f t="shared" ref="G3:G13" si="0">BlackCallPrice($C$2,0,0,F3,$C$7,$C$3)-$C$9</f>
        <v>-0.72191081132329771</v>
      </c>
      <c r="H3" s="4">
        <f t="shared" ref="H3:H13" si="1">BlackCallVega($C$2,0,0,F3,$C$7,$C$3,0.0001)</f>
        <v>19.053422199881709</v>
      </c>
      <c r="I3" s="3"/>
      <c r="J3" s="3"/>
      <c r="K3" s="3"/>
      <c r="L3" s="3"/>
      <c r="M3" s="3"/>
    </row>
    <row r="4" spans="2:13" x14ac:dyDescent="0.35">
      <c r="B4" t="s">
        <v>8</v>
      </c>
      <c r="C4">
        <v>0.23455999999999999</v>
      </c>
      <c r="E4">
        <v>1</v>
      </c>
      <c r="F4" s="5">
        <f>F3-G3/H3</f>
        <v>0.23788877419237472</v>
      </c>
      <c r="G4" s="4">
        <f t="shared" si="0"/>
        <v>7.5498615861153695E-2</v>
      </c>
      <c r="H4" s="4">
        <f t="shared" si="1"/>
        <v>22.820257628470841</v>
      </c>
      <c r="I4" s="3"/>
      <c r="J4" s="3"/>
      <c r="K4" s="3"/>
      <c r="L4" s="3"/>
      <c r="M4" s="3"/>
    </row>
    <row r="5" spans="2:13" x14ac:dyDescent="0.35">
      <c r="B5" t="s">
        <v>1</v>
      </c>
      <c r="C5">
        <v>0</v>
      </c>
      <c r="E5">
        <v>2</v>
      </c>
      <c r="F5" s="5">
        <f t="shared" ref="F5:F13" si="2">F4-G4/H4</f>
        <v>0.2345803708828976</v>
      </c>
      <c r="G5" s="4">
        <f t="shared" si="0"/>
        <v>4.5916753426311629E-4</v>
      </c>
      <c r="H5" s="4">
        <f t="shared" si="1"/>
        <v>22.541255454271436</v>
      </c>
      <c r="I5" s="3"/>
      <c r="J5" s="3"/>
      <c r="K5" s="3"/>
      <c r="L5" s="3"/>
      <c r="M5" s="3"/>
    </row>
    <row r="6" spans="2:13" x14ac:dyDescent="0.35">
      <c r="B6" t="s">
        <v>2</v>
      </c>
      <c r="C6">
        <v>0</v>
      </c>
      <c r="E6">
        <v>3</v>
      </c>
      <c r="F6" s="5">
        <f t="shared" si="2"/>
        <v>0.23456000078704403</v>
      </c>
      <c r="G6" s="4">
        <f t="shared" si="0"/>
        <v>1.773959112938428E-8</v>
      </c>
      <c r="H6" s="4">
        <f t="shared" si="1"/>
        <v>22.539511028689674</v>
      </c>
      <c r="I6" s="3"/>
      <c r="J6" s="3"/>
      <c r="K6" s="3"/>
      <c r="L6" s="3"/>
      <c r="M6" s="3"/>
    </row>
    <row r="7" spans="2:13" x14ac:dyDescent="0.35">
      <c r="B7" t="s">
        <v>6</v>
      </c>
      <c r="C7">
        <v>1</v>
      </c>
      <c r="E7">
        <v>4</v>
      </c>
      <c r="F7" s="5">
        <f t="shared" si="2"/>
        <v>0.23455999999999985</v>
      </c>
      <c r="G7" s="4">
        <f t="shared" si="0"/>
        <v>0</v>
      </c>
      <c r="H7" s="4">
        <f t="shared" si="1"/>
        <v>22.539510961259168</v>
      </c>
      <c r="I7" s="3"/>
      <c r="J7" s="3"/>
      <c r="K7" s="3"/>
      <c r="L7" s="3"/>
      <c r="M7" s="3"/>
    </row>
    <row r="8" spans="2:13" x14ac:dyDescent="0.35">
      <c r="E8">
        <v>5</v>
      </c>
      <c r="F8" s="5">
        <f t="shared" si="2"/>
        <v>0.23455999999999985</v>
      </c>
      <c r="G8" s="4">
        <f t="shared" si="0"/>
        <v>0</v>
      </c>
      <c r="H8" s="4">
        <f t="shared" si="1"/>
        <v>22.539510961259168</v>
      </c>
      <c r="I8" s="3"/>
      <c r="J8" s="3"/>
      <c r="K8" s="3"/>
      <c r="L8" s="3"/>
      <c r="M8" s="3"/>
    </row>
    <row r="9" spans="2:13" x14ac:dyDescent="0.35">
      <c r="B9" t="s">
        <v>7</v>
      </c>
      <c r="C9">
        <f>BlackCallPrice(C2,0,0,C4,C7,C3)</f>
        <v>21.907840324533719</v>
      </c>
      <c r="E9">
        <v>6</v>
      </c>
      <c r="F9" s="5">
        <f t="shared" si="2"/>
        <v>0.23455999999999985</v>
      </c>
      <c r="G9" s="4">
        <f t="shared" si="0"/>
        <v>0</v>
      </c>
      <c r="H9" s="4">
        <f t="shared" si="1"/>
        <v>22.539510961259168</v>
      </c>
      <c r="I9" s="3"/>
      <c r="J9" s="3"/>
      <c r="K9" s="3"/>
      <c r="L9" s="3"/>
      <c r="M9" s="3"/>
    </row>
    <row r="10" spans="2:13" x14ac:dyDescent="0.35">
      <c r="E10">
        <v>7</v>
      </c>
      <c r="F10" s="5">
        <f t="shared" si="2"/>
        <v>0.23455999999999985</v>
      </c>
      <c r="G10" s="4">
        <f t="shared" si="0"/>
        <v>0</v>
      </c>
      <c r="H10" s="4">
        <f t="shared" si="1"/>
        <v>22.539510961259168</v>
      </c>
      <c r="I10" s="3"/>
      <c r="J10" s="3"/>
      <c r="K10" s="3"/>
      <c r="L10" s="3"/>
      <c r="M10" s="3"/>
    </row>
    <row r="11" spans="2:13" x14ac:dyDescent="0.35">
      <c r="E11">
        <v>8</v>
      </c>
      <c r="F11" s="5">
        <f t="shared" si="2"/>
        <v>0.23455999999999985</v>
      </c>
      <c r="G11" s="4">
        <f t="shared" si="0"/>
        <v>0</v>
      </c>
      <c r="H11" s="4">
        <f t="shared" si="1"/>
        <v>22.539510961259168</v>
      </c>
      <c r="I11" s="3"/>
      <c r="J11" s="3"/>
      <c r="K11" s="3"/>
      <c r="L11" s="3"/>
      <c r="M11" s="3"/>
    </row>
    <row r="12" spans="2:13" x14ac:dyDescent="0.35">
      <c r="E12">
        <v>9</v>
      </c>
      <c r="F12" s="5">
        <f t="shared" si="2"/>
        <v>0.23455999999999985</v>
      </c>
      <c r="G12" s="4">
        <f t="shared" si="0"/>
        <v>0</v>
      </c>
      <c r="H12" s="4">
        <f t="shared" si="1"/>
        <v>22.539510961259168</v>
      </c>
      <c r="I12" s="3"/>
      <c r="J12" s="3"/>
      <c r="K12" s="3"/>
      <c r="L12" s="3"/>
      <c r="M12" s="3"/>
    </row>
    <row r="13" spans="2:13" x14ac:dyDescent="0.35">
      <c r="E13">
        <v>10</v>
      </c>
      <c r="F13" s="5">
        <f t="shared" si="2"/>
        <v>0.23455999999999985</v>
      </c>
      <c r="G13" s="4">
        <f t="shared" si="0"/>
        <v>0</v>
      </c>
      <c r="H13" s="4">
        <f t="shared" si="1"/>
        <v>22.539510961259168</v>
      </c>
      <c r="I13" s="3"/>
      <c r="J13" s="3"/>
      <c r="K13" s="3"/>
      <c r="L13" s="3"/>
      <c r="M13" s="3"/>
    </row>
    <row r="14" spans="2:13" x14ac:dyDescent="0.35">
      <c r="F14" s="3"/>
      <c r="G14" s="3"/>
      <c r="H14" s="2"/>
      <c r="I14" s="3"/>
      <c r="J14" s="3"/>
      <c r="K14" s="3"/>
      <c r="L14" s="3"/>
      <c r="M14" s="3"/>
    </row>
    <row r="15" spans="2:13" x14ac:dyDescent="0.35">
      <c r="F15" s="3"/>
      <c r="G15" s="3"/>
      <c r="H15" s="2"/>
      <c r="I15" s="3"/>
      <c r="J15" s="3"/>
      <c r="K15" s="3"/>
      <c r="L15" s="3"/>
      <c r="M15" s="3"/>
    </row>
    <row r="16" spans="2:13" x14ac:dyDescent="0.35">
      <c r="F16" s="3"/>
      <c r="G16" s="3"/>
      <c r="H16" s="2"/>
      <c r="I16" s="3"/>
      <c r="J16" s="3"/>
      <c r="K16" s="3"/>
      <c r="L16" s="3"/>
      <c r="M16" s="3"/>
    </row>
    <row r="17" spans="6:13" x14ac:dyDescent="0.35">
      <c r="F17" s="3"/>
      <c r="G17" s="3"/>
      <c r="H17" s="2"/>
      <c r="I17" s="3"/>
      <c r="J17" s="3"/>
      <c r="K17" s="3"/>
      <c r="L17" s="3"/>
      <c r="M17" s="3"/>
    </row>
    <row r="18" spans="6:13" x14ac:dyDescent="0.35">
      <c r="F18" s="3"/>
      <c r="G18" s="3"/>
      <c r="H18" s="2"/>
      <c r="I18" s="3"/>
      <c r="J18" s="3"/>
      <c r="K18" s="3"/>
      <c r="L18" s="3"/>
      <c r="M18" s="3"/>
    </row>
    <row r="19" spans="6:13" x14ac:dyDescent="0.35">
      <c r="F19" s="3"/>
      <c r="G19" s="3"/>
      <c r="H19" s="2"/>
      <c r="I19" s="3"/>
      <c r="J19" s="3"/>
      <c r="K19" s="3"/>
      <c r="L19" s="3"/>
      <c r="M1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N27"/>
  <sheetViews>
    <sheetView topLeftCell="G1" zoomScale="85" zoomScaleNormal="85" workbookViewId="0">
      <selection activeCell="L5" sqref="L5"/>
    </sheetView>
  </sheetViews>
  <sheetFormatPr defaultRowHeight="14.5" x14ac:dyDescent="0.35"/>
  <cols>
    <col min="2" max="2" width="12.36328125" bestFit="1" customWidth="1"/>
    <col min="6" max="6" width="13.81640625" customWidth="1"/>
    <col min="7" max="7" width="18.1796875" bestFit="1" customWidth="1"/>
    <col min="8" max="8" width="14.7265625" bestFit="1" customWidth="1"/>
    <col min="9" max="9" width="14.7265625" customWidth="1"/>
    <col min="10" max="10" width="10.26953125" customWidth="1"/>
    <col min="11" max="11" width="11.1796875" customWidth="1"/>
    <col min="12" max="12" width="15.26953125" customWidth="1"/>
    <col min="13" max="13" width="13.6328125" bestFit="1" customWidth="1"/>
  </cols>
  <sheetData>
    <row r="1" spans="2:14" x14ac:dyDescent="0.35">
      <c r="H1" t="s">
        <v>20</v>
      </c>
      <c r="I1" s="7">
        <v>1E-3</v>
      </c>
      <c r="J1" s="7">
        <v>5.0000000000000001E-3</v>
      </c>
      <c r="K1" s="11">
        <v>0.01</v>
      </c>
      <c r="L1" s="11">
        <v>0.02</v>
      </c>
    </row>
    <row r="2" spans="2:14" x14ac:dyDescent="0.35">
      <c r="B2" t="s">
        <v>15</v>
      </c>
      <c r="C2" s="7">
        <v>0.02</v>
      </c>
      <c r="H2" t="s">
        <v>21</v>
      </c>
      <c r="I2" s="6">
        <f>SLNImpliedVol($C$2,$C$2,I1,$C$9,$G$9,$C$4)</f>
        <v>0.19076505405343053</v>
      </c>
      <c r="J2" s="6">
        <f t="shared" ref="J2:L2" si="0">SLNImpliedVol($C$2,$C$2,J1,$C$9,$G$9,$C$4)</f>
        <v>0.16017105002014032</v>
      </c>
      <c r="K2" s="6">
        <f t="shared" si="0"/>
        <v>0.13343225269613718</v>
      </c>
      <c r="L2" s="6">
        <f t="shared" si="0"/>
        <v>0.10004170316441972</v>
      </c>
    </row>
    <row r="3" spans="2:14" x14ac:dyDescent="0.35">
      <c r="F3" t="s">
        <v>0</v>
      </c>
      <c r="G3" t="s">
        <v>14</v>
      </c>
      <c r="H3" s="3" t="s">
        <v>16</v>
      </c>
      <c r="I3" t="s">
        <v>19</v>
      </c>
      <c r="L3" s="3"/>
      <c r="M3" s="3"/>
      <c r="N3" s="3"/>
    </row>
    <row r="4" spans="2:14" x14ac:dyDescent="0.35">
      <c r="B4" t="s">
        <v>17</v>
      </c>
      <c r="C4" s="6">
        <v>0.2</v>
      </c>
      <c r="F4" s="6">
        <v>0.01</v>
      </c>
      <c r="G4" s="4">
        <f t="shared" ref="G4:G9" si="1">BachelierPutPrice($C$2,$C$5,$C$9,F4)</f>
        <v>8.0165487165128305E-6</v>
      </c>
      <c r="H4" s="8">
        <f t="shared" ref="H4:H14" si="2">BlackCallPrice($C$2,0,0,$G$22,$C$9,F4)</f>
        <v>1.0000193296894841E-2</v>
      </c>
      <c r="I4" s="8">
        <f>SLNCallPrice($C$2,I$1,I$2,$C$9,$F4)</f>
        <v>1.0000260509479648E-2</v>
      </c>
      <c r="J4" s="8">
        <f t="shared" ref="J4:L4" si="3">SLNCallPrice($C$2,J$1,J$2,$C$9,$F4)</f>
        <v>1.0000596244671846E-2</v>
      </c>
      <c r="K4" s="8">
        <f t="shared" si="3"/>
        <v>1.0001086497399843E-2</v>
      </c>
      <c r="L4" s="8">
        <f t="shared" si="3"/>
        <v>1.0002038915119943E-2</v>
      </c>
      <c r="M4" s="3"/>
      <c r="N4" s="3"/>
    </row>
    <row r="5" spans="2:14" x14ac:dyDescent="0.35">
      <c r="B5" t="s">
        <v>18</v>
      </c>
      <c r="C5" s="10">
        <f>C2*C4</f>
        <v>4.0000000000000001E-3</v>
      </c>
      <c r="F5" s="6">
        <v>1.2E-2</v>
      </c>
      <c r="G5" s="4">
        <f t="shared" si="1"/>
        <v>3.3962810467318723E-5</v>
      </c>
      <c r="H5" s="8">
        <f t="shared" si="2"/>
        <v>8.0053016189731343E-3</v>
      </c>
      <c r="I5" s="8">
        <f t="shared" ref="I5:L14" si="4">SLNCallPrice($C$2,I$1,I$2,$C$9,$F5)</f>
        <v>8.0060264193052115E-3</v>
      </c>
      <c r="J5" s="8">
        <f t="shared" si="4"/>
        <v>8.0087504336399523E-3</v>
      </c>
      <c r="K5" s="8">
        <f t="shared" si="4"/>
        <v>8.0116605427088226E-3</v>
      </c>
      <c r="L5" s="8">
        <f t="shared" si="4"/>
        <v>8.0160150944586124E-3</v>
      </c>
      <c r="M5" s="3"/>
      <c r="N5" s="3"/>
    </row>
    <row r="6" spans="2:14" x14ac:dyDescent="0.35">
      <c r="F6" s="6">
        <v>1.4E-2</v>
      </c>
      <c r="G6" s="4">
        <f t="shared" si="1"/>
        <v>1.1722717505041863E-4</v>
      </c>
      <c r="H6" s="8">
        <f t="shared" si="2"/>
        <v>6.0500761820990968E-3</v>
      </c>
      <c r="I6" s="8">
        <f t="shared" si="4"/>
        <v>6.0527332735839448E-3</v>
      </c>
      <c r="J6" s="8">
        <f t="shared" si="4"/>
        <v>6.0616357637858628E-3</v>
      </c>
      <c r="K6" s="8">
        <f t="shared" si="4"/>
        <v>6.0699055572770565E-3</v>
      </c>
      <c r="L6" s="8">
        <f t="shared" si="4"/>
        <v>6.0808386152946675E-3</v>
      </c>
      <c r="M6" s="3"/>
      <c r="N6" s="3"/>
    </row>
    <row r="7" spans="2:14" x14ac:dyDescent="0.35">
      <c r="F7" s="6">
        <v>1.6E-2</v>
      </c>
      <c r="G7" s="4">
        <f t="shared" si="1"/>
        <v>3.3326188235074548E-4</v>
      </c>
      <c r="H7" s="8">
        <f t="shared" si="2"/>
        <v>4.2384619109816441E-3</v>
      </c>
      <c r="I7" s="8">
        <f t="shared" si="4"/>
        <v>4.2428673501954351E-3</v>
      </c>
      <c r="J7" s="8">
        <f t="shared" si="4"/>
        <v>4.2570497449322571E-3</v>
      </c>
      <c r="K7" s="8">
        <f t="shared" si="4"/>
        <v>4.2695587873297584E-3</v>
      </c>
      <c r="L7" s="8">
        <f t="shared" si="4"/>
        <v>4.2853144063652862E-3</v>
      </c>
      <c r="M7" s="3"/>
      <c r="N7" s="3"/>
    </row>
    <row r="8" spans="2:14" x14ac:dyDescent="0.35">
      <c r="F8" s="6">
        <v>1.7999999999999999E-2</v>
      </c>
      <c r="G8" s="4">
        <f t="shared" si="1"/>
        <v>7.9118622960522387E-4</v>
      </c>
      <c r="H8" s="8">
        <f t="shared" si="2"/>
        <v>2.7200150675750767E-3</v>
      </c>
      <c r="I8" s="8">
        <f t="shared" si="4"/>
        <v>2.7234396488116626E-3</v>
      </c>
      <c r="J8" s="8">
        <f t="shared" si="4"/>
        <v>2.7343738313078073E-3</v>
      </c>
      <c r="K8" s="8">
        <f t="shared" si="4"/>
        <v>2.7439109828210867E-3</v>
      </c>
      <c r="L8" s="8">
        <f t="shared" si="4"/>
        <v>2.7557933015421024E-3</v>
      </c>
      <c r="M8" s="3"/>
      <c r="N8" s="3"/>
    </row>
    <row r="9" spans="2:14" x14ac:dyDescent="0.35">
      <c r="B9" t="s">
        <v>6</v>
      </c>
      <c r="C9">
        <v>1</v>
      </c>
      <c r="F9" s="6">
        <v>0.02</v>
      </c>
      <c r="G9" s="4">
        <f t="shared" si="1"/>
        <v>1.5957691216057308E-3</v>
      </c>
      <c r="H9" s="8">
        <f t="shared" si="2"/>
        <v>1.5957691216057313E-3</v>
      </c>
      <c r="I9" s="8">
        <f t="shared" si="4"/>
        <v>1.5957691216057306E-3</v>
      </c>
      <c r="J9" s="8">
        <f t="shared" si="4"/>
        <v>1.595769121605728E-3</v>
      </c>
      <c r="K9" s="8">
        <f t="shared" si="4"/>
        <v>1.5957691216057278E-3</v>
      </c>
      <c r="L9" s="8">
        <f t="shared" si="4"/>
        <v>1.5957691216057323E-3</v>
      </c>
      <c r="M9" s="3"/>
      <c r="N9" s="3"/>
    </row>
    <row r="10" spans="2:14" x14ac:dyDescent="0.35">
      <c r="F10" s="6">
        <v>2.1999999999999999E-2</v>
      </c>
      <c r="G10" s="4">
        <f>BachelierCallPrice($C$2,$C$5,$C$9,F10)</f>
        <v>7.9118622960522484E-4</v>
      </c>
      <c r="H10" s="8">
        <f t="shared" si="2"/>
        <v>8.6088893775880006E-4</v>
      </c>
      <c r="I10" s="8">
        <f t="shared" si="4"/>
        <v>8.5760100731326245E-4</v>
      </c>
      <c r="J10" s="8">
        <f t="shared" si="4"/>
        <v>8.4705916669674381E-4</v>
      </c>
      <c r="K10" s="8">
        <f t="shared" si="4"/>
        <v>8.3780920446053261E-4</v>
      </c>
      <c r="L10" s="8">
        <f t="shared" si="4"/>
        <v>8.2621232833330986E-4</v>
      </c>
      <c r="M10" s="3"/>
      <c r="N10" s="3"/>
    </row>
    <row r="11" spans="2:14" x14ac:dyDescent="0.35">
      <c r="F11" s="6">
        <v>2.4E-2</v>
      </c>
      <c r="G11" s="4">
        <f>BachelierCallPrice($C$2,$C$5,$C$9,F11)</f>
        <v>3.3326188235074548E-4</v>
      </c>
      <c r="H11" s="8">
        <f t="shared" si="2"/>
        <v>4.3138110121551009E-4</v>
      </c>
      <c r="I11" s="8">
        <f t="shared" si="4"/>
        <v>4.2665910882605382E-4</v>
      </c>
      <c r="J11" s="8">
        <f t="shared" si="4"/>
        <v>4.1157668526632961E-4</v>
      </c>
      <c r="K11" s="8">
        <f t="shared" si="4"/>
        <v>3.9841707025155531E-4</v>
      </c>
      <c r="L11" s="8">
        <f t="shared" si="4"/>
        <v>3.8202166470522047E-4</v>
      </c>
      <c r="M11" s="3"/>
      <c r="N11" s="3"/>
    </row>
    <row r="12" spans="2:14" x14ac:dyDescent="0.35">
      <c r="F12" s="6">
        <v>2.5999999999999999E-2</v>
      </c>
      <c r="G12" s="4">
        <f>BachelierCallPrice($C$2,$C$5,$C$9,F12)</f>
        <v>1.1722717505041867E-4</v>
      </c>
      <c r="H12" s="8">
        <f t="shared" si="2"/>
        <v>2.030568903929532E-4</v>
      </c>
      <c r="I12" s="8">
        <f t="shared" si="4"/>
        <v>1.9864505994897702E-4</v>
      </c>
      <c r="J12" s="8">
        <f t="shared" si="4"/>
        <v>1.8472282515914017E-4</v>
      </c>
      <c r="K12" s="8">
        <f t="shared" si="4"/>
        <v>1.7279633071612974E-4</v>
      </c>
      <c r="L12" s="8">
        <f t="shared" si="4"/>
        <v>1.5824404437717851E-4</v>
      </c>
      <c r="M12" s="3"/>
      <c r="N12" s="3"/>
    </row>
    <row r="13" spans="2:14" x14ac:dyDescent="0.35">
      <c r="F13" s="6">
        <v>2.8000000000000001E-2</v>
      </c>
      <c r="G13" s="4">
        <f>BachelierCallPrice($C$2,$C$5,$C$9,F13)</f>
        <v>3.3962810467318723E-5</v>
      </c>
      <c r="H13" s="8">
        <f t="shared" si="2"/>
        <v>9.0771484244635237E-5</v>
      </c>
      <c r="I13" s="8">
        <f t="shared" si="4"/>
        <v>8.7488103043909736E-5</v>
      </c>
      <c r="J13" s="8">
        <f t="shared" si="4"/>
        <v>7.7345991298604372E-5</v>
      </c>
      <c r="K13" s="8">
        <f t="shared" si="4"/>
        <v>6.8940381284296833E-5</v>
      </c>
      <c r="L13" s="8">
        <f t="shared" si="4"/>
        <v>5.9071155298185184E-5</v>
      </c>
      <c r="M13" s="3"/>
      <c r="N13" s="3"/>
    </row>
    <row r="14" spans="2:14" x14ac:dyDescent="0.35">
      <c r="F14" s="6">
        <v>0.03</v>
      </c>
      <c r="G14" s="4">
        <f>BachelierCallPrice($C$2,$C$5,$C$9,F14)</f>
        <v>8.0165487165128441E-6</v>
      </c>
      <c r="H14" s="8">
        <f t="shared" si="2"/>
        <v>3.89131053662077E-5</v>
      </c>
      <c r="I14" s="8">
        <f t="shared" si="4"/>
        <v>3.6809631336855061E-5</v>
      </c>
      <c r="J14" s="8">
        <f t="shared" si="4"/>
        <v>3.0508651991771627E-5</v>
      </c>
      <c r="K14" s="8">
        <f t="shared" si="4"/>
        <v>2.5533701642925307E-5</v>
      </c>
      <c r="L14" s="8">
        <f t="shared" si="4"/>
        <v>2.0018868073265905E-5</v>
      </c>
      <c r="M14" s="3"/>
      <c r="N14" s="3"/>
    </row>
    <row r="15" spans="2:14" x14ac:dyDescent="0.35">
      <c r="F15" s="6"/>
      <c r="G15" s="4"/>
      <c r="H15" s="4"/>
      <c r="I15" s="3"/>
      <c r="K15" s="3"/>
      <c r="L15" s="3"/>
      <c r="M15" s="3"/>
      <c r="N15" s="3"/>
    </row>
    <row r="16" spans="2:14" x14ac:dyDescent="0.35">
      <c r="F16" s="6"/>
      <c r="G16" s="4" t="s">
        <v>22</v>
      </c>
      <c r="H16" s="4" t="s">
        <v>23</v>
      </c>
      <c r="I16" s="6">
        <f>I1</f>
        <v>1E-3</v>
      </c>
      <c r="J16" s="6">
        <f t="shared" ref="J16:L16" si="5">J1</f>
        <v>5.0000000000000001E-3</v>
      </c>
      <c r="K16" s="6">
        <f t="shared" si="5"/>
        <v>0.01</v>
      </c>
      <c r="L16" s="6">
        <f t="shared" si="5"/>
        <v>0.02</v>
      </c>
      <c r="M16" s="3"/>
      <c r="N16" s="3"/>
    </row>
    <row r="17" spans="6:14" x14ac:dyDescent="0.35">
      <c r="F17" s="6">
        <v>0.01</v>
      </c>
      <c r="G17" s="4">
        <f t="shared" ref="G17:G27" si="6">BlackImpliedVol($C$2,F4,$C$9,G4,0.2,IF($C$2&lt;F4,TRUE,FALSE))</f>
        <v>0.27814938538411543</v>
      </c>
      <c r="H17" s="4">
        <f t="shared" ref="H17:H27" si="7">BlackImpliedVol($C$2,F4,$C$9,H4,0.2,TRUE)</f>
        <v>0.20033450506381631</v>
      </c>
      <c r="I17" s="4">
        <f>BlackImpliedVol($C$2,$F4,$C$9,I4,0.2,TRUE)</f>
        <v>0.20453516260823237</v>
      </c>
      <c r="J17" s="4">
        <f>BlackImpliedVol($C$2,$F4,$C$9,J4,0.2,TRUE)</f>
        <v>0.21753342639963086</v>
      </c>
      <c r="K17" s="4">
        <f t="shared" ref="K17:L17" si="8">BlackImpliedVol($C$2,$F4,$C$9,K4,0.2,TRUE)</f>
        <v>0.22842877340888118</v>
      </c>
      <c r="L17" s="4">
        <f t="shared" si="8"/>
        <v>0.24152560328762671</v>
      </c>
      <c r="M17" s="3"/>
      <c r="N17" s="3"/>
    </row>
    <row r="18" spans="6:14" x14ac:dyDescent="0.35">
      <c r="F18" s="6">
        <v>1.2E-2</v>
      </c>
      <c r="G18" s="4">
        <f t="shared" si="6"/>
        <v>0.25610953380571089</v>
      </c>
      <c r="H18" s="4">
        <f t="shared" si="7"/>
        <v>0.20033450506387548</v>
      </c>
      <c r="I18" s="4">
        <f t="shared" ref="I18:I27" si="9">BlackImpliedVol($C$2,F5,$C$9,I5,0.2,TRUE)</f>
        <v>0.20323811157847749</v>
      </c>
      <c r="J18" s="4">
        <f>BlackImpliedVol($C$2,$F5,$C$9,J5,0.2,TRUE)</f>
        <v>0.21232407477781787</v>
      </c>
      <c r="K18" s="4">
        <f t="shared" ref="K18:L18" si="10">BlackImpliedVol($C$2,$F5,$C$9,K5,0.2,TRUE)</f>
        <v>0.220042487848087</v>
      </c>
      <c r="L18" s="4">
        <f t="shared" si="10"/>
        <v>0.22942354153566988</v>
      </c>
      <c r="M18" s="3"/>
      <c r="N18" s="3"/>
    </row>
    <row r="19" spans="6:14" x14ac:dyDescent="0.35">
      <c r="F19" s="6">
        <v>1.4E-2</v>
      </c>
      <c r="G19" s="4">
        <f t="shared" si="6"/>
        <v>0.23834567259911099</v>
      </c>
      <c r="H19" s="4">
        <f t="shared" si="7"/>
        <v>0.20033450506388581</v>
      </c>
      <c r="I19" s="4">
        <f t="shared" si="9"/>
        <v>0.20225704101877942</v>
      </c>
      <c r="J19" s="4">
        <f t="shared" ref="J19:L19" si="11">BlackImpliedVol($C$2,$F6,$C$9,J6,0.2,TRUE)</f>
        <v>0.20832163233185938</v>
      </c>
      <c r="K19" s="4">
        <f t="shared" si="11"/>
        <v>0.21352595448126899</v>
      </c>
      <c r="L19" s="4">
        <f t="shared" si="11"/>
        <v>0.21990857207864506</v>
      </c>
      <c r="M19" s="3"/>
      <c r="N19" s="3"/>
    </row>
    <row r="20" spans="6:14" x14ac:dyDescent="0.35">
      <c r="F20" s="6">
        <v>1.6E-2</v>
      </c>
      <c r="G20" s="4">
        <f t="shared" si="6"/>
        <v>0.22360834387129672</v>
      </c>
      <c r="H20" s="4">
        <f t="shared" si="7"/>
        <v>0.20033450506388462</v>
      </c>
      <c r="I20" s="4">
        <f t="shared" si="9"/>
        <v>0.20148415583598983</v>
      </c>
      <c r="J20" s="4">
        <f t="shared" ref="J20:L20" si="12">BlackImpliedVol($C$2,$F7,$C$9,J7,0.2,TRUE)</f>
        <v>0.20513258578239726</v>
      </c>
      <c r="K20" s="4">
        <f t="shared" si="12"/>
        <v>0.20828841075427112</v>
      </c>
      <c r="L20" s="4">
        <f t="shared" si="12"/>
        <v>0.21218772239889949</v>
      </c>
    </row>
    <row r="21" spans="6:14" x14ac:dyDescent="0.35">
      <c r="F21" s="6">
        <v>1.7999999999999999E-2</v>
      </c>
      <c r="G21" s="4">
        <f t="shared" si="6"/>
        <v>0.21111238036210445</v>
      </c>
      <c r="H21" s="4">
        <f t="shared" si="7"/>
        <v>0.20033450506388467</v>
      </c>
      <c r="I21" s="4">
        <f t="shared" si="9"/>
        <v>0.20085646398300358</v>
      </c>
      <c r="J21" s="4">
        <f t="shared" ref="J21:L21" si="13">BlackImpliedVol($C$2,$F8,$C$9,J8,0.2,TRUE)</f>
        <v>0.20252061341751554</v>
      </c>
      <c r="K21" s="4">
        <f t="shared" si="13"/>
        <v>0.20396923372124492</v>
      </c>
      <c r="L21" s="4">
        <f t="shared" si="13"/>
        <v>0.20577039022223995</v>
      </c>
    </row>
    <row r="22" spans="6:14" x14ac:dyDescent="0.35">
      <c r="F22" s="6">
        <v>0.02</v>
      </c>
      <c r="G22" s="9">
        <f t="shared" si="6"/>
        <v>0.20033450506388462</v>
      </c>
      <c r="H22" s="4">
        <f t="shared" si="7"/>
        <v>0.20033450506388487</v>
      </c>
      <c r="I22" s="4">
        <f t="shared" si="9"/>
        <v>0.20033450506388487</v>
      </c>
      <c r="J22" s="4">
        <f t="shared" ref="J22:L22" si="14">BlackImpliedVol($C$2,$F9,$C$9,J9,0.2,TRUE)</f>
        <v>0.20033450506388459</v>
      </c>
      <c r="K22" s="4">
        <f t="shared" si="14"/>
        <v>0.20033450506388431</v>
      </c>
      <c r="L22" s="4">
        <f t="shared" si="14"/>
        <v>0.20033450506388498</v>
      </c>
    </row>
    <row r="23" spans="6:14" x14ac:dyDescent="0.35">
      <c r="F23" s="6">
        <v>2.1999999999999999E-2</v>
      </c>
      <c r="G23" s="4">
        <f t="shared" si="6"/>
        <v>0.19090985901116417</v>
      </c>
      <c r="H23" s="4">
        <f t="shared" si="7"/>
        <v>0.20033450506388456</v>
      </c>
      <c r="I23" s="4">
        <f t="shared" si="9"/>
        <v>0.199892203311483</v>
      </c>
      <c r="J23" s="4">
        <f t="shared" ref="J23:L23" si="15">BlackImpliedVol($C$2,$F10,$C$9,J10,0.2,TRUE)</f>
        <v>0.19847264131187919</v>
      </c>
      <c r="K23" s="4">
        <f t="shared" si="15"/>
        <v>0.19722519604907374</v>
      </c>
      <c r="L23" s="4">
        <f t="shared" si="15"/>
        <v>0.19565874381465828</v>
      </c>
    </row>
    <row r="24" spans="6:14" x14ac:dyDescent="0.35">
      <c r="F24" s="6">
        <v>2.4E-2</v>
      </c>
      <c r="G24" s="4">
        <f t="shared" si="6"/>
        <v>0.1825747477078675</v>
      </c>
      <c r="H24" s="4">
        <f t="shared" si="7"/>
        <v>0.20033450506388506</v>
      </c>
      <c r="I24" s="4">
        <f t="shared" si="9"/>
        <v>0.19951158146925965</v>
      </c>
      <c r="J24" s="4">
        <f t="shared" ref="J24:L24" si="16">BlackImpliedVol($C$2,$F11,$C$9,J11,0.2,TRUE)</f>
        <v>0.19686399870988783</v>
      </c>
      <c r="K24" s="4">
        <f t="shared" si="16"/>
        <v>0.19452905798415751</v>
      </c>
      <c r="L24" s="4">
        <f t="shared" si="16"/>
        <v>0.19158537519532562</v>
      </c>
    </row>
    <row r="25" spans="6:14" x14ac:dyDescent="0.35">
      <c r="F25" s="6">
        <v>2.5999999999999999E-2</v>
      </c>
      <c r="G25" s="4">
        <f t="shared" si="6"/>
        <v>0.17513294110044419</v>
      </c>
      <c r="H25" s="4">
        <f t="shared" si="7"/>
        <v>0.20033450506388462</v>
      </c>
      <c r="I25" s="4">
        <f t="shared" si="9"/>
        <v>0.19917981069419524</v>
      </c>
      <c r="J25" s="4">
        <f t="shared" ref="J25:L25" si="17">BlackImpliedVol($C$2,$F12,$C$9,J12,0.2,TRUE)</f>
        <v>0.19545731922895263</v>
      </c>
      <c r="K25" s="4">
        <f t="shared" si="17"/>
        <v>0.19216439022174575</v>
      </c>
      <c r="L25" s="4">
        <f t="shared" si="17"/>
        <v>0.18799859424240703</v>
      </c>
    </row>
    <row r="26" spans="6:14" x14ac:dyDescent="0.35">
      <c r="F26" s="6">
        <v>2.8000000000000001E-2</v>
      </c>
      <c r="G26" s="4">
        <f t="shared" si="6"/>
        <v>0.16843482560380837</v>
      </c>
      <c r="H26" s="4">
        <f t="shared" si="7"/>
        <v>0.20033450506388481</v>
      </c>
      <c r="I26" s="4">
        <f t="shared" si="9"/>
        <v>0.19888747033231063</v>
      </c>
      <c r="J26" s="4">
        <f t="shared" ref="J26:L26" si="18">BlackImpliedVol($C$2,$F13,$C$9,J13,0.2,TRUE)</f>
        <v>0.1942146061534139</v>
      </c>
      <c r="K26" s="4">
        <f t="shared" si="18"/>
        <v>0.19007018233400533</v>
      </c>
      <c r="L26" s="4">
        <f t="shared" si="18"/>
        <v>0.18481124403611743</v>
      </c>
    </row>
    <row r="27" spans="6:14" x14ac:dyDescent="0.35">
      <c r="F27" s="6">
        <v>0.03</v>
      </c>
      <c r="G27" s="4">
        <f t="shared" si="6"/>
        <v>0.16236396755319019</v>
      </c>
      <c r="H27" s="4">
        <f t="shared" si="7"/>
        <v>0.20033450506388475</v>
      </c>
      <c r="I27" s="4">
        <f t="shared" si="9"/>
        <v>0.19862747344472562</v>
      </c>
      <c r="J27" s="4">
        <f t="shared" ref="J27:L27" si="19">BlackImpliedVol($C$2,$F14,$C$9,J14,0.2,TRUE)</f>
        <v>0.19310704703985337</v>
      </c>
      <c r="K27" s="4">
        <f t="shared" si="19"/>
        <v>0.188199872884668</v>
      </c>
      <c r="L27" s="4">
        <f t="shared" si="19"/>
        <v>0.1819563367950908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9"/>
  <sheetViews>
    <sheetView workbookViewId="0">
      <selection activeCell="B19" sqref="B19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 t="shared" ref="F3:L12" si="0">BlackCallDelta($E3,$C$3,$C$4,$C$5,F$2,$C$6,$C$8)</f>
        <v>5.2050244341902374E-290</v>
      </c>
      <c r="G3" s="2">
        <f t="shared" si="0"/>
        <v>6.0025715719101411E-146</v>
      </c>
      <c r="H3" s="2">
        <f t="shared" si="0"/>
        <v>2.1074121738706775E-59</v>
      </c>
      <c r="I3" s="2">
        <f t="shared" si="0"/>
        <v>1.8020028663081354E-30</v>
      </c>
      <c r="J3" s="2">
        <f t="shared" si="0"/>
        <v>6.2489965559876438E-16</v>
      </c>
      <c r="K3" s="2">
        <f t="shared" si="0"/>
        <v>4.215214527733737E-7</v>
      </c>
      <c r="L3" s="2">
        <f t="shared" si="0"/>
        <v>4.4291962773878105E-4</v>
      </c>
    </row>
    <row r="4" spans="2:12" x14ac:dyDescent="0.35">
      <c r="B4" t="s">
        <v>2</v>
      </c>
      <c r="C4">
        <v>0</v>
      </c>
      <c r="E4">
        <v>20</v>
      </c>
      <c r="F4" s="2">
        <f t="shared" si="0"/>
        <v>8.4294878820242117E-143</v>
      </c>
      <c r="G4" s="2">
        <f t="shared" si="0"/>
        <v>2.4281364969634987E-72</v>
      </c>
      <c r="H4" s="2">
        <f t="shared" si="0"/>
        <v>5.8722557714026929E-30</v>
      </c>
      <c r="I4" s="2">
        <f t="shared" si="0"/>
        <v>9.5395176708178118E-16</v>
      </c>
      <c r="J4" s="2">
        <f t="shared" si="0"/>
        <v>1.4381771034952595E-8</v>
      </c>
      <c r="K4" s="2">
        <f t="shared" si="0"/>
        <v>3.6880257470292468E-4</v>
      </c>
      <c r="L4" s="2">
        <f t="shared" si="0"/>
        <v>1.2923029094023819E-2</v>
      </c>
    </row>
    <row r="5" spans="2:12" x14ac:dyDescent="0.35">
      <c r="B5" t="s">
        <v>3</v>
      </c>
      <c r="C5">
        <v>0.2</v>
      </c>
      <c r="E5">
        <v>30</v>
      </c>
      <c r="F5" s="2">
        <f t="shared" si="0"/>
        <v>7.7732002459270927E-81</v>
      </c>
      <c r="G5" s="2">
        <f t="shared" si="0"/>
        <v>2.4331657604483834E-41</v>
      </c>
      <c r="H5" s="2">
        <f t="shared" si="0"/>
        <v>1.5509465988538267E-17</v>
      </c>
      <c r="I5" s="2">
        <f t="shared" si="0"/>
        <v>1.6110395464149303E-9</v>
      </c>
      <c r="J5" s="2">
        <f t="shared" si="0"/>
        <v>1.9336715512962579E-5</v>
      </c>
      <c r="K5" s="2">
        <f t="shared" si="0"/>
        <v>6.7829288199171278E-3</v>
      </c>
      <c r="L5" s="2">
        <f t="shared" si="0"/>
        <v>5.6208732674978279E-2</v>
      </c>
    </row>
    <row r="6" spans="2:12" x14ac:dyDescent="0.35">
      <c r="B6" t="s">
        <v>0</v>
      </c>
      <c r="C6">
        <v>100</v>
      </c>
      <c r="E6">
        <v>40</v>
      </c>
      <c r="F6" s="2">
        <f t="shared" si="0"/>
        <v>1.1454128566350342E-47</v>
      </c>
      <c r="G6" s="2">
        <f t="shared" si="0"/>
        <v>9.9421996198360958E-25</v>
      </c>
      <c r="H6" s="2">
        <f t="shared" si="0"/>
        <v>7.3506503760916561E-11</v>
      </c>
      <c r="I6" s="2">
        <f t="shared" si="0"/>
        <v>3.7068165958527538E-6</v>
      </c>
      <c r="J6" s="2">
        <f t="shared" si="0"/>
        <v>9.7364580934570372E-4</v>
      </c>
      <c r="K6" s="2">
        <f t="shared" si="0"/>
        <v>3.3979275260997976E-2</v>
      </c>
      <c r="L6" s="2">
        <f t="shared" si="0"/>
        <v>0.12870056871339131</v>
      </c>
    </row>
    <row r="7" spans="2:12" x14ac:dyDescent="0.35">
      <c r="E7">
        <v>50</v>
      </c>
      <c r="F7" s="2">
        <f t="shared" si="0"/>
        <v>4.2348914453673795E-28</v>
      </c>
      <c r="G7" s="2">
        <f t="shared" si="0"/>
        <v>6.5473043583269023E-15</v>
      </c>
      <c r="H7" s="2">
        <f t="shared" si="0"/>
        <v>6.806793744588183E-7</v>
      </c>
      <c r="I7" s="2">
        <f t="shared" si="0"/>
        <v>3.8169879870480952E-4</v>
      </c>
      <c r="J7" s="2">
        <f t="shared" si="0"/>
        <v>1.0465577152847516E-2</v>
      </c>
      <c r="K7" s="2">
        <f t="shared" si="0"/>
        <v>9.2367290172035155E-2</v>
      </c>
      <c r="L7" s="2">
        <f t="shared" si="0"/>
        <v>0.21777368484965365</v>
      </c>
    </row>
    <row r="8" spans="2:12" x14ac:dyDescent="0.35">
      <c r="B8" t="s">
        <v>4</v>
      </c>
      <c r="C8">
        <v>1E-4</v>
      </c>
      <c r="E8">
        <v>60</v>
      </c>
      <c r="F8" s="2">
        <f t="shared" si="0"/>
        <v>4.3038453156046003E-16</v>
      </c>
      <c r="G8" s="2">
        <f t="shared" si="0"/>
        <v>7.2879254326155048E-9</v>
      </c>
      <c r="H8" s="2">
        <f t="shared" si="0"/>
        <v>1.9902600926238702E-4</v>
      </c>
      <c r="I8" s="2">
        <f t="shared" si="0"/>
        <v>7.0613327361399025E-3</v>
      </c>
      <c r="J8" s="2">
        <f t="shared" si="0"/>
        <v>4.7994300642895116E-2</v>
      </c>
      <c r="K8" s="2">
        <f t="shared" si="0"/>
        <v>0.17914351528869332</v>
      </c>
      <c r="L8" s="2">
        <f t="shared" si="0"/>
        <v>0.31155111164693494</v>
      </c>
    </row>
    <row r="9" spans="2:12" x14ac:dyDescent="0.35">
      <c r="E9">
        <v>70</v>
      </c>
      <c r="F9" s="2">
        <f t="shared" si="0"/>
        <v>1.0239621844767987E-8</v>
      </c>
      <c r="G9" s="2">
        <f t="shared" si="0"/>
        <v>4.0230007498019118E-5</v>
      </c>
      <c r="H9" s="2">
        <f t="shared" si="0"/>
        <v>7.1158365574572335E-3</v>
      </c>
      <c r="I9" s="2">
        <f t="shared" si="0"/>
        <v>4.6151286998280527E-2</v>
      </c>
      <c r="J9" s="2">
        <f t="shared" si="0"/>
        <v>0.13143893004219365</v>
      </c>
      <c r="K9" s="2">
        <f t="shared" si="0"/>
        <v>0.28300331454733652</v>
      </c>
      <c r="L9" s="2">
        <f t="shared" si="0"/>
        <v>0.40217365659955817</v>
      </c>
    </row>
    <row r="10" spans="2:12" x14ac:dyDescent="0.35">
      <c r="E10">
        <v>80</v>
      </c>
      <c r="F10" s="2">
        <f t="shared" si="0"/>
        <v>2.356257886642287E-4</v>
      </c>
      <c r="G10" s="2">
        <f t="shared" si="0"/>
        <v>7.1408393840198536E-3</v>
      </c>
      <c r="H10" s="2">
        <f t="shared" si="0"/>
        <v>6.588578555843938E-2</v>
      </c>
      <c r="I10" s="2">
        <f t="shared" si="0"/>
        <v>0.15488190495460685</v>
      </c>
      <c r="J10" s="2">
        <f t="shared" si="0"/>
        <v>0.25865088618903798</v>
      </c>
      <c r="K10" s="2">
        <f t="shared" si="0"/>
        <v>0.39152085324012376</v>
      </c>
      <c r="L10" s="2">
        <f t="shared" si="0"/>
        <v>0.48540469567370792</v>
      </c>
    </row>
    <row r="11" spans="2:12" x14ac:dyDescent="0.35">
      <c r="E11">
        <v>90</v>
      </c>
      <c r="F11" s="2">
        <f t="shared" si="0"/>
        <v>5.110074416031507E-2</v>
      </c>
      <c r="G11" s="2">
        <f t="shared" si="0"/>
        <v>0.12855568732428324</v>
      </c>
      <c r="H11" s="2">
        <f t="shared" si="0"/>
        <v>0.25006008822270331</v>
      </c>
      <c r="I11" s="2">
        <f t="shared" si="0"/>
        <v>0.33476156420020331</v>
      </c>
      <c r="J11" s="2">
        <f t="shared" si="0"/>
        <v>0.40862464854019009</v>
      </c>
      <c r="K11" s="2">
        <f t="shared" si="0"/>
        <v>0.49521820190356891</v>
      </c>
      <c r="L11" s="2">
        <f t="shared" si="0"/>
        <v>0.55947495150476811</v>
      </c>
    </row>
    <row r="12" spans="2:12" x14ac:dyDescent="0.35">
      <c r="E12">
        <v>100</v>
      </c>
      <c r="F12" s="2">
        <f t="shared" si="0"/>
        <v>0.51261356035503525</v>
      </c>
      <c r="G12" s="2">
        <f t="shared" si="0"/>
        <v>0.51783529585014421</v>
      </c>
      <c r="H12" s="2">
        <f t="shared" si="0"/>
        <v>0.52818598885728818</v>
      </c>
      <c r="I12" s="2">
        <f t="shared" si="0"/>
        <v>0.53982783724038086</v>
      </c>
      <c r="J12" s="2">
        <f t="shared" si="0"/>
        <v>0.55623145800431928</v>
      </c>
      <c r="K12" s="2">
        <f t="shared" si="0"/>
        <v>0.58846836317627549</v>
      </c>
      <c r="L12" s="2">
        <f t="shared" si="0"/>
        <v>0.62408518299861271</v>
      </c>
    </row>
    <row r="13" spans="2:12" x14ac:dyDescent="0.35">
      <c r="E13">
        <v>110</v>
      </c>
      <c r="F13" s="2">
        <f t="shared" ref="F13:L19" si="1">BlackCallDelta($E13,$C$3,$C$4,$C$5,F$2,$C$6,$C$8)</f>
        <v>0.93805011472269939</v>
      </c>
      <c r="G13" s="2">
        <f t="shared" si="1"/>
        <v>0.86656975812005044</v>
      </c>
      <c r="H13" s="2">
        <f t="shared" si="1"/>
        <v>0.77175997303058352</v>
      </c>
      <c r="I13" s="2">
        <f t="shared" si="1"/>
        <v>0.71787856181337872</v>
      </c>
      <c r="J13" s="2">
        <f t="shared" si="1"/>
        <v>0.683815001831789</v>
      </c>
      <c r="K13" s="2">
        <f t="shared" si="1"/>
        <v>0.66884526862764915</v>
      </c>
      <c r="L13" s="2">
        <f t="shared" si="1"/>
        <v>0.67972372905344969</v>
      </c>
    </row>
    <row r="14" spans="2:12" x14ac:dyDescent="0.35">
      <c r="E14">
        <v>120</v>
      </c>
      <c r="F14" s="2">
        <f t="shared" si="1"/>
        <v>0.99821801937238774</v>
      </c>
      <c r="G14" s="2">
        <f t="shared" si="1"/>
        <v>0.98138069196451738</v>
      </c>
      <c r="H14" s="2">
        <f t="shared" si="1"/>
        <v>0.91307218472280738</v>
      </c>
      <c r="I14" s="2">
        <f t="shared" si="1"/>
        <v>0.84413718868248111</v>
      </c>
      <c r="J14" s="2">
        <f t="shared" si="1"/>
        <v>0.78407369729305287</v>
      </c>
      <c r="K14" s="2">
        <f t="shared" si="1"/>
        <v>0.73607460082669718</v>
      </c>
      <c r="L14" s="2">
        <f t="shared" si="1"/>
        <v>0.72724551493763556</v>
      </c>
    </row>
    <row r="15" spans="2:12" x14ac:dyDescent="0.35">
      <c r="E15">
        <v>130</v>
      </c>
      <c r="F15" s="2">
        <f t="shared" si="1"/>
        <v>0.99998542244961186</v>
      </c>
      <c r="G15" s="2">
        <f t="shared" si="1"/>
        <v>0.99854952367195438</v>
      </c>
      <c r="H15" s="2">
        <f t="shared" si="1"/>
        <v>0.97294195548158768</v>
      </c>
      <c r="I15" s="2">
        <f t="shared" si="1"/>
        <v>0.92099871078943352</v>
      </c>
      <c r="J15" s="2">
        <f t="shared" si="1"/>
        <v>0.85746947046771993</v>
      </c>
      <c r="K15" s="2">
        <f t="shared" si="1"/>
        <v>0.79110781729951896</v>
      </c>
      <c r="L15" s="2">
        <f t="shared" si="1"/>
        <v>0.7676293862601824</v>
      </c>
    </row>
    <row r="16" spans="2:12" x14ac:dyDescent="0.35">
      <c r="E16">
        <v>140</v>
      </c>
      <c r="F16" s="2">
        <f t="shared" si="1"/>
        <v>0.99999995647692685</v>
      </c>
      <c r="G16" s="2">
        <f t="shared" si="1"/>
        <v>0.99992955352234958</v>
      </c>
      <c r="H16" s="2">
        <f t="shared" si="1"/>
        <v>0.99285577437768779</v>
      </c>
      <c r="I16" s="2">
        <f t="shared" si="1"/>
        <v>0.96265482447677186</v>
      </c>
      <c r="J16" s="2">
        <f t="shared" si="1"/>
        <v>0.90841048876910691</v>
      </c>
      <c r="K16" s="2">
        <f t="shared" si="1"/>
        <v>0.83546320666982865</v>
      </c>
      <c r="L16" s="2">
        <f t="shared" si="1"/>
        <v>0.8018470259685273</v>
      </c>
    </row>
    <row r="17" spans="5:12" x14ac:dyDescent="0.35">
      <c r="E17">
        <v>150</v>
      </c>
      <c r="F17" s="2">
        <f t="shared" si="1"/>
        <v>0.99999999989108801</v>
      </c>
      <c r="G17" s="2">
        <f t="shared" si="1"/>
        <v>0.99999765243552474</v>
      </c>
      <c r="H17" s="2">
        <f t="shared" si="1"/>
        <v>0.99834715285851416</v>
      </c>
      <c r="I17" s="2">
        <f t="shared" si="1"/>
        <v>0.98330347803710083</v>
      </c>
      <c r="J17" s="2">
        <f t="shared" si="1"/>
        <v>0.94236681420056811</v>
      </c>
      <c r="K17" s="2">
        <f t="shared" si="1"/>
        <v>0.87081546631395668</v>
      </c>
      <c r="L17" s="2">
        <f t="shared" si="1"/>
        <v>0.83079822644549495</v>
      </c>
    </row>
    <row r="18" spans="5:12" x14ac:dyDescent="0.35">
      <c r="E18">
        <v>160</v>
      </c>
      <c r="F18" s="2">
        <f t="shared" si="1"/>
        <v>1.0000000000331966</v>
      </c>
      <c r="G18" s="2">
        <f t="shared" si="1"/>
        <v>0.99999994191080077</v>
      </c>
      <c r="H18" s="2">
        <f t="shared" si="1"/>
        <v>0.99965577536664796</v>
      </c>
      <c r="I18" s="2">
        <f t="shared" si="1"/>
        <v>0.99285754920686031</v>
      </c>
      <c r="J18" s="2">
        <f t="shared" si="1"/>
        <v>0.96431650199235719</v>
      </c>
      <c r="K18" s="2">
        <f t="shared" si="1"/>
        <v>0.8987687037631531</v>
      </c>
      <c r="L18" s="2">
        <f t="shared" si="1"/>
        <v>0.85528406302159965</v>
      </c>
    </row>
    <row r="19" spans="5:12" x14ac:dyDescent="0.35">
      <c r="E19">
        <v>170</v>
      </c>
      <c r="F19" s="2">
        <f t="shared" si="1"/>
        <v>1.0000000000331966</v>
      </c>
      <c r="G19" s="2">
        <f t="shared" si="1"/>
        <v>0.99999999889632818</v>
      </c>
      <c r="H19" s="2">
        <f t="shared" si="1"/>
        <v>0.99993403274822867</v>
      </c>
      <c r="I19" s="2">
        <f t="shared" si="1"/>
        <v>0.99704867885463955</v>
      </c>
      <c r="J19" s="2">
        <f t="shared" si="1"/>
        <v>0.97817704386216064</v>
      </c>
      <c r="K19" s="2">
        <f t="shared" si="1"/>
        <v>0.92074900116756453</v>
      </c>
      <c r="L19" s="2">
        <f t="shared" si="1"/>
        <v>0.87600078849447982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1">
        <f>BlackCallGamma($E3,$C$3,$C$4,$C$5,F$2,$C$6,$C$8)</f>
        <v>2.9959237042558384E-288</v>
      </c>
      <c r="G3" s="1">
        <f t="shared" ref="G3:L18" si="0">BlackCallGamma($E3,$C$3,$C$4,$C$5,G$2,$C$6,$C$8)</f>
        <v>1.7272862335516322E-144</v>
      </c>
      <c r="H3" s="1">
        <f>BlackCallGamma($E3,$C$3,$C$4,$C$5,H$2,$C$6,$C$8)</f>
        <v>2.4248338490943682E-58</v>
      </c>
      <c r="I3" s="1">
        <f t="shared" si="0"/>
        <v>1.0360843022560068E-29</v>
      </c>
      <c r="J3" s="1">
        <f t="shared" si="0"/>
        <v>1.7941796862956681E-15</v>
      </c>
      <c r="K3" s="1">
        <f t="shared" si="0"/>
        <v>4.820311732491252E-7</v>
      </c>
      <c r="L3" s="1">
        <f t="shared" si="0"/>
        <v>2.5115037274262703E-4</v>
      </c>
    </row>
    <row r="4" spans="2:12" x14ac:dyDescent="0.35">
      <c r="B4" t="s">
        <v>2</v>
      </c>
      <c r="C4">
        <v>0</v>
      </c>
      <c r="E4">
        <v>20</v>
      </c>
      <c r="F4" s="1">
        <f t="shared" ref="F4:L19" si="1">BlackCallGamma($E4,$C$3,$C$4,$C$5,F$2,$C$6,$C$8)</f>
        <v>1.6963420968769406E-141</v>
      </c>
      <c r="G4" s="1">
        <f t="shared" si="0"/>
        <v>2.4439003926470415E-71</v>
      </c>
      <c r="H4" s="1">
        <f t="shared" si="0"/>
        <v>2.366156075962734E-29</v>
      </c>
      <c r="I4" s="1">
        <f t="shared" si="0"/>
        <v>1.9244275045590552E-15</v>
      </c>
      <c r="J4" s="1">
        <f t="shared" si="0"/>
        <v>1.4539401107011728E-8</v>
      </c>
      <c r="K4" s="1">
        <f t="shared" si="0"/>
        <v>1.4983728233858296E-4</v>
      </c>
      <c r="L4" s="1">
        <f t="shared" si="0"/>
        <v>2.6328980662349011E-3</v>
      </c>
    </row>
    <row r="5" spans="2:12" x14ac:dyDescent="0.35">
      <c r="B5" t="s">
        <v>3</v>
      </c>
      <c r="C5">
        <v>0.2</v>
      </c>
      <c r="E5">
        <v>30</v>
      </c>
      <c r="F5" s="1">
        <f t="shared" si="1"/>
        <v>7.8074067314318134E-80</v>
      </c>
      <c r="G5" s="1">
        <f t="shared" si="0"/>
        <v>1.223239993023149E-40</v>
      </c>
      <c r="H5" s="1">
        <f t="shared" ref="H5:H15" si="2">BlackCallGamma($E5,$C$3,$C$4,$C$5,H$2,$C$6,$C$8)</f>
        <v>3.1284833750017458E-17</v>
      </c>
      <c r="I5" s="1">
        <f t="shared" si="0"/>
        <v>1.6326128063251733E-9</v>
      </c>
      <c r="J5" s="1">
        <f t="shared" si="0"/>
        <v>9.8802410548296145E-6</v>
      </c>
      <c r="K5" s="1">
        <f t="shared" si="0"/>
        <v>1.4126331181196772E-3</v>
      </c>
      <c r="L5" s="1">
        <f t="shared" si="0"/>
        <v>5.9644011951576204E-3</v>
      </c>
    </row>
    <row r="6" spans="2:12" x14ac:dyDescent="0.35">
      <c r="B6" t="s">
        <v>0</v>
      </c>
      <c r="C6">
        <v>100</v>
      </c>
      <c r="E6">
        <v>40</v>
      </c>
      <c r="F6" s="1">
        <f t="shared" si="1"/>
        <v>6.5762916824530285E-47</v>
      </c>
      <c r="G6" s="1">
        <f t="shared" si="0"/>
        <v>2.8611927162059217E-24</v>
      </c>
      <c r="H6" s="1">
        <f t="shared" si="2"/>
        <v>8.5212691610568368E-11</v>
      </c>
      <c r="I6" s="1">
        <f t="shared" si="0"/>
        <v>2.1715031726568914E-6</v>
      </c>
      <c r="J6" s="1">
        <f t="shared" si="0"/>
        <v>2.9040669608654257E-4</v>
      </c>
      <c r="K6" s="1">
        <f t="shared" si="0"/>
        <v>4.2157506652262811E-3</v>
      </c>
      <c r="L6" s="1">
        <f t="shared" si="0"/>
        <v>8.3040019305258284E-3</v>
      </c>
    </row>
    <row r="7" spans="2:12" x14ac:dyDescent="0.35">
      <c r="E7">
        <v>50</v>
      </c>
      <c r="F7" s="1">
        <f t="shared" si="1"/>
        <v>1.4755245153049012E-27</v>
      </c>
      <c r="G7" s="1">
        <f t="shared" si="0"/>
        <v>1.1464241189475651E-14</v>
      </c>
      <c r="H7" s="1">
        <f t="shared" si="2"/>
        <v>4.8350221404513277E-7</v>
      </c>
      <c r="I7" s="1">
        <f t="shared" si="0"/>
        <v>1.383647374193081E-4</v>
      </c>
      <c r="J7" s="1">
        <f t="shared" si="0"/>
        <v>1.9608949880511872E-3</v>
      </c>
      <c r="K7" s="1">
        <f t="shared" si="0"/>
        <v>7.4033862373923398E-3</v>
      </c>
      <c r="L7" s="1">
        <f t="shared" si="0"/>
        <v>9.3085650298974087E-3</v>
      </c>
    </row>
    <row r="8" spans="2:12" x14ac:dyDescent="0.35">
      <c r="B8" t="s">
        <v>4</v>
      </c>
      <c r="C8">
        <v>1E-4</v>
      </c>
      <c r="E8">
        <v>60</v>
      </c>
      <c r="F8" s="1">
        <f t="shared" si="1"/>
        <v>9.2615444267124894E-16</v>
      </c>
      <c r="G8" s="1">
        <f t="shared" si="0"/>
        <v>7.9218290068888112E-9</v>
      </c>
      <c r="H8" s="1">
        <f t="shared" si="2"/>
        <v>8.8907711488089847E-5</v>
      </c>
      <c r="I8" s="1">
        <f t="shared" si="0"/>
        <v>1.6364831365023313E-3</v>
      </c>
      <c r="J8" s="1">
        <f t="shared" si="0"/>
        <v>5.8816951309381693E-3</v>
      </c>
      <c r="K8" s="1">
        <f t="shared" si="0"/>
        <v>9.7499230911068935E-3</v>
      </c>
      <c r="L8" s="1">
        <f t="shared" si="0"/>
        <v>9.3169028048123437E-3</v>
      </c>
    </row>
    <row r="9" spans="2:12" x14ac:dyDescent="0.35">
      <c r="E9">
        <v>70</v>
      </c>
      <c r="F9" s="1">
        <f t="shared" si="1"/>
        <v>1.3360382157400445E-8</v>
      </c>
      <c r="G9" s="1">
        <f t="shared" si="0"/>
        <v>2.6802878526929839E-5</v>
      </c>
      <c r="H9" s="1">
        <f t="shared" si="2"/>
        <v>1.9971889593517478E-3</v>
      </c>
      <c r="I9" s="1">
        <f t="shared" si="0"/>
        <v>6.9093744614612262E-3</v>
      </c>
      <c r="J9" s="1">
        <f t="shared" si="0"/>
        <v>1.076609357220093E-2</v>
      </c>
      <c r="K9" s="1">
        <f t="shared" si="0"/>
        <v>1.0808798300843137E-2</v>
      </c>
      <c r="L9" s="1">
        <f t="shared" si="0"/>
        <v>8.7386542446665771E-3</v>
      </c>
    </row>
    <row r="10" spans="2:12" x14ac:dyDescent="0.35">
      <c r="E10">
        <v>80</v>
      </c>
      <c r="F10" s="1">
        <f t="shared" si="1"/>
        <v>1.7454937641754251E-4</v>
      </c>
      <c r="G10" s="1">
        <f t="shared" si="0"/>
        <v>2.7716661431254064E-3</v>
      </c>
      <c r="H10" s="1">
        <f t="shared" si="2"/>
        <v>1.1325369808634633E-2</v>
      </c>
      <c r="I10" s="1">
        <f t="shared" si="0"/>
        <v>1.4885204180359324E-2</v>
      </c>
      <c r="J10" s="1">
        <f t="shared" si="0"/>
        <v>1.4296330785867895E-2</v>
      </c>
      <c r="K10" s="1">
        <f t="shared" si="0"/>
        <v>1.0735656807980831E-2</v>
      </c>
      <c r="L10" s="1">
        <f t="shared" si="0"/>
        <v>7.879563668211631E-3</v>
      </c>
    </row>
    <row r="11" spans="2:12" x14ac:dyDescent="0.35">
      <c r="E11">
        <v>90</v>
      </c>
      <c r="F11" s="1">
        <f t="shared" si="1"/>
        <v>1.84361505228825E-2</v>
      </c>
      <c r="G11" s="1">
        <f t="shared" si="0"/>
        <v>2.6076454884282896E-2</v>
      </c>
      <c r="H11" s="1">
        <f t="shared" si="2"/>
        <v>2.4969981637923411E-2</v>
      </c>
      <c r="I11" s="1">
        <f t="shared" si="0"/>
        <v>2.0234169895161358E-2</v>
      </c>
      <c r="J11" s="1">
        <f t="shared" si="0"/>
        <v>1.5259216112895047E-2</v>
      </c>
      <c r="K11" s="1">
        <f t="shared" si="0"/>
        <v>9.9111385765127125E-3</v>
      </c>
      <c r="L11" s="1">
        <f t="shared" si="0"/>
        <v>6.9308114802879572E-3</v>
      </c>
    </row>
    <row r="12" spans="2:12" x14ac:dyDescent="0.35">
      <c r="E12">
        <v>100</v>
      </c>
      <c r="F12" s="1">
        <f t="shared" si="1"/>
        <v>6.3046767806440585E-2</v>
      </c>
      <c r="G12" s="1">
        <f t="shared" si="0"/>
        <v>4.4557957323831943E-2</v>
      </c>
      <c r="H12" s="1">
        <f t="shared" si="2"/>
        <v>2.813920207955789E-2</v>
      </c>
      <c r="I12" s="1">
        <f t="shared" si="0"/>
        <v>1.9847501420144908E-2</v>
      </c>
      <c r="J12" s="1">
        <f t="shared" si="0"/>
        <v>1.3963985523446354E-2</v>
      </c>
      <c r="K12" s="1">
        <f t="shared" si="0"/>
        <v>8.7003293458565167E-3</v>
      </c>
      <c r="L12" s="1">
        <f t="shared" si="0"/>
        <v>6.000089314284196E-3</v>
      </c>
    </row>
    <row r="13" spans="2:12" x14ac:dyDescent="0.35">
      <c r="E13">
        <v>110</v>
      </c>
      <c r="F13" s="1">
        <f t="shared" si="1"/>
        <v>1.755648959544942E-2</v>
      </c>
      <c r="G13" s="1">
        <f t="shared" si="0"/>
        <v>2.1891510826321792E-2</v>
      </c>
      <c r="H13" s="1">
        <f t="shared" si="2"/>
        <v>1.943458727282632E-2</v>
      </c>
      <c r="I13" s="1">
        <f t="shared" si="0"/>
        <v>1.535673810337812E-2</v>
      </c>
      <c r="J13" s="1">
        <f t="shared" si="0"/>
        <v>1.1436540603426693E-2</v>
      </c>
      <c r="K13" s="1">
        <f t="shared" si="0"/>
        <v>7.3719697013530094E-3</v>
      </c>
      <c r="L13" s="1">
        <f t="shared" si="0"/>
        <v>5.142108960853875E-3</v>
      </c>
    </row>
    <row r="14" spans="2:12" x14ac:dyDescent="0.35">
      <c r="E14">
        <v>120</v>
      </c>
      <c r="F14" s="1">
        <f t="shared" si="1"/>
        <v>7.5148776090827596E-4</v>
      </c>
      <c r="G14" s="1">
        <f t="shared" si="0"/>
        <v>4.2454040283246286E-3</v>
      </c>
      <c r="H14" s="1">
        <f t="shared" si="2"/>
        <v>9.3249852284316148E-3</v>
      </c>
      <c r="I14" s="1">
        <f t="shared" si="0"/>
        <v>9.9654506868773751E-3</v>
      </c>
      <c r="J14" s="1">
        <f t="shared" si="0"/>
        <v>8.6298079793323268E-3</v>
      </c>
      <c r="K14" s="1">
        <f t="shared" si="0"/>
        <v>6.0899729703578487E-3</v>
      </c>
      <c r="L14" s="1">
        <f t="shared" si="0"/>
        <v>4.3787196091216174E-3</v>
      </c>
    </row>
    <row r="15" spans="2:12" x14ac:dyDescent="0.35">
      <c r="E15">
        <v>130</v>
      </c>
      <c r="F15" s="1">
        <f t="shared" si="1"/>
        <v>7.9047879353311146E-6</v>
      </c>
      <c r="G15" s="1">
        <f t="shared" si="0"/>
        <v>4.0696335190659738E-4</v>
      </c>
      <c r="H15" s="1">
        <f t="shared" si="2"/>
        <v>3.3966607304591889E-3</v>
      </c>
      <c r="I15" s="1">
        <f t="shared" si="0"/>
        <v>5.6638249645857286E-3</v>
      </c>
      <c r="J15" s="1">
        <f t="shared" si="0"/>
        <v>6.127365281827224E-3</v>
      </c>
      <c r="K15" s="1">
        <f t="shared" si="0"/>
        <v>4.9418247272114968E-3</v>
      </c>
      <c r="L15" s="1">
        <f t="shared" si="0"/>
        <v>3.7143621511859237E-3</v>
      </c>
    </row>
    <row r="16" spans="2:12" x14ac:dyDescent="0.35">
      <c r="E16">
        <v>140</v>
      </c>
      <c r="F16" s="1">
        <f t="shared" si="1"/>
        <v>-3.5527136788005009E-7</v>
      </c>
      <c r="G16" s="1">
        <f t="shared" si="0"/>
        <v>2.2915003228263231E-5</v>
      </c>
      <c r="H16" s="1">
        <f t="shared" si="0"/>
        <v>1.0018652574217413E-3</v>
      </c>
      <c r="I16" s="1">
        <f t="shared" si="0"/>
        <v>2.9103830456733704E-3</v>
      </c>
      <c r="J16" s="1">
        <f t="shared" si="0"/>
        <v>4.1548986473571858E-3</v>
      </c>
      <c r="K16" s="1">
        <f t="shared" si="0"/>
        <v>3.957367766815878E-3</v>
      </c>
      <c r="L16" s="1">
        <f t="shared" si="0"/>
        <v>3.1437963343705633E-3</v>
      </c>
    </row>
    <row r="17" spans="5:12" x14ac:dyDescent="0.35">
      <c r="E17">
        <v>150</v>
      </c>
      <c r="F17" s="1">
        <f t="shared" si="1"/>
        <v>7.1054273576010019E-7</v>
      </c>
      <c r="G17" s="1">
        <f t="shared" si="0"/>
        <v>1.4210854715202004E-6</v>
      </c>
      <c r="H17" s="1">
        <f t="shared" si="0"/>
        <v>2.5188739982695552E-4</v>
      </c>
      <c r="I17" s="1">
        <f t="shared" si="0"/>
        <v>1.383249070840975E-3</v>
      </c>
      <c r="J17" s="1">
        <f t="shared" si="0"/>
        <v>2.7201352281736035E-3</v>
      </c>
      <c r="K17" s="1">
        <f t="shared" si="0"/>
        <v>3.1391778065881226E-3</v>
      </c>
      <c r="L17" s="1">
        <f t="shared" si="0"/>
        <v>2.6590285528982349E-3</v>
      </c>
    </row>
    <row r="18" spans="5:12" x14ac:dyDescent="0.35">
      <c r="E18">
        <v>160</v>
      </c>
      <c r="F18" s="1">
        <f t="shared" si="1"/>
        <v>0</v>
      </c>
      <c r="G18" s="1">
        <f t="shared" si="0"/>
        <v>1.7763568394002505E-7</v>
      </c>
      <c r="H18" s="1">
        <f t="shared" si="0"/>
        <v>5.5422333389287814E-5</v>
      </c>
      <c r="I18" s="1">
        <f t="shared" si="0"/>
        <v>6.1923799421492731E-4</v>
      </c>
      <c r="J18" s="1">
        <f t="shared" si="0"/>
        <v>1.7351453607261647E-3</v>
      </c>
      <c r="K18" s="1">
        <f t="shared" si="0"/>
        <v>2.4741098059166688E-3</v>
      </c>
      <c r="L18" s="1">
        <f t="shared" si="0"/>
        <v>2.248512487312837E-3</v>
      </c>
    </row>
    <row r="19" spans="5:12" x14ac:dyDescent="0.35">
      <c r="E19">
        <v>170</v>
      </c>
      <c r="F19" s="1">
        <f t="shared" si="1"/>
        <v>0</v>
      </c>
      <c r="G19" s="1">
        <f t="shared" si="1"/>
        <v>-7.1054273576010019E-7</v>
      </c>
      <c r="H19" s="1">
        <f t="shared" si="1"/>
        <v>1.0658141036401503E-5</v>
      </c>
      <c r="I19" s="1">
        <f t="shared" si="1"/>
        <v>2.6574298317427747E-4</v>
      </c>
      <c r="J19" s="1">
        <f t="shared" si="1"/>
        <v>1.0835776720341528E-3</v>
      </c>
      <c r="K19" s="1">
        <f t="shared" si="1"/>
        <v>1.9408474827287137E-3</v>
      </c>
      <c r="L19" s="1">
        <f t="shared" si="1"/>
        <v>1.9031887177334283E-3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BlackCallVega($E3,$C$3,$C$4,$C$5,F$2,$C$6,$C$8)</f>
        <v>6.4390120236590459E-288</v>
      </c>
      <c r="G3" s="2">
        <f t="shared" ref="G3:L18" si="0">BlackCallVega($E3,$C$3,$C$4,$C$5,G$2,$C$6,$C$8)</f>
        <v>7.0356623610886309E-144</v>
      </c>
      <c r="H3" s="2">
        <f t="shared" si="0"/>
        <v>2.4318594172176612E-57</v>
      </c>
      <c r="I3" s="2">
        <f t="shared" si="0"/>
        <v>2.0736504738480499E-28</v>
      </c>
      <c r="J3" s="2">
        <f t="shared" si="0"/>
        <v>7.177961386996565E-14</v>
      </c>
      <c r="K3" s="2">
        <f t="shared" si="0"/>
        <v>4.8204346787435398E-5</v>
      </c>
      <c r="L3" s="2">
        <f t="shared" si="0"/>
        <v>5.02303709592496E-2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BlackCallVega($E4,$C$3,$C$4,$C$5,F$2,$C$6,$C$8)</f>
        <v>1.3808014407940044E-140</v>
      </c>
      <c r="G4" s="2">
        <f t="shared" si="0"/>
        <v>3.9271908865536388E-70</v>
      </c>
      <c r="H4" s="2">
        <f t="shared" si="0"/>
        <v>9.4710940455943906E-28</v>
      </c>
      <c r="I4" s="2">
        <f t="shared" si="0"/>
        <v>1.5398046440767393E-13</v>
      </c>
      <c r="J4" s="2">
        <f t="shared" si="0"/>
        <v>2.326398729315357E-6</v>
      </c>
      <c r="K4" s="2">
        <f t="shared" si="0"/>
        <v>5.9935336801906783E-2</v>
      </c>
      <c r="L4" s="2">
        <f t="shared" si="0"/>
        <v>2.1063216465368879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1.4129731924049007E-78</v>
      </c>
      <c r="G5" s="2">
        <f t="shared" si="0"/>
        <v>4.4095944032579066E-39</v>
      </c>
      <c r="H5" s="2">
        <f t="shared" si="0"/>
        <v>2.8162183937582191E-15</v>
      </c>
      <c r="I5" s="2">
        <f t="shared" si="0"/>
        <v>2.9388244062587311E-7</v>
      </c>
      <c r="J5" s="2">
        <f t="shared" si="0"/>
        <v>3.5569192600895692E-3</v>
      </c>
      <c r="K5" s="2">
        <f t="shared" si="0"/>
        <v>1.2713625171685039</v>
      </c>
      <c r="L5" s="2">
        <f t="shared" si="0"/>
        <v>10.735969243507725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2.108218959550063E-45</v>
      </c>
      <c r="G6" s="2">
        <f t="shared" si="0"/>
        <v>1.8319684355642449E-22</v>
      </c>
      <c r="H6" s="2">
        <f t="shared" si="0"/>
        <v>1.3634850640877672E-8</v>
      </c>
      <c r="I6" s="2">
        <f t="shared" si="0"/>
        <v>6.9489012783967828E-4</v>
      </c>
      <c r="J6" s="2">
        <f t="shared" si="0"/>
        <v>0.18585912735638588</v>
      </c>
      <c r="K6" s="2">
        <f t="shared" si="0"/>
        <v>6.7452170587713187</v>
      </c>
      <c r="L6" s="2">
        <f t="shared" si="0"/>
        <v>26.572925302293935</v>
      </c>
    </row>
    <row r="7" spans="2:12" x14ac:dyDescent="0.35">
      <c r="E7">
        <v>50</v>
      </c>
      <c r="F7" s="2">
        <f t="shared" si="1"/>
        <v>7.3819455158351319E-26</v>
      </c>
      <c r="G7" s="2">
        <f t="shared" si="0"/>
        <v>1.1465868962848006E-12</v>
      </c>
      <c r="H7" s="2">
        <f t="shared" si="0"/>
        <v>1.2087908087842748E-4</v>
      </c>
      <c r="I7" s="2">
        <f t="shared" si="0"/>
        <v>6.918299995080715E-2</v>
      </c>
      <c r="J7" s="2">
        <f t="shared" si="0"/>
        <v>1.9608951086795208</v>
      </c>
      <c r="K7" s="2">
        <f t="shared" si="0"/>
        <v>18.50876515619937</v>
      </c>
      <c r="L7" s="2">
        <f t="shared" si="0"/>
        <v>46.543354721337856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6.6694307589900673E-14</v>
      </c>
      <c r="G8" s="2">
        <f t="shared" si="0"/>
        <v>1.1407940683244143E-6</v>
      </c>
      <c r="H8" s="2">
        <f t="shared" si="0"/>
        <v>3.2006388979675678E-2</v>
      </c>
      <c r="I8" s="2">
        <f t="shared" si="0"/>
        <v>1.1782550456210239</v>
      </c>
      <c r="J8" s="2">
        <f t="shared" si="0"/>
        <v>8.4697403137257155</v>
      </c>
      <c r="K8" s="2">
        <f t="shared" si="0"/>
        <v>35.099281241135479</v>
      </c>
      <c r="L8" s="2">
        <f t="shared" si="0"/>
        <v>67.083143111985592</v>
      </c>
    </row>
    <row r="9" spans="2:12" x14ac:dyDescent="0.35">
      <c r="E9">
        <v>70</v>
      </c>
      <c r="F9" s="2">
        <f t="shared" si="1"/>
        <v>1.3093402778473881E-6</v>
      </c>
      <c r="G9" s="2">
        <f t="shared" si="0"/>
        <v>5.2534004542867671E-3</v>
      </c>
      <c r="H9" s="2">
        <f t="shared" si="0"/>
        <v>0.97862778059986866</v>
      </c>
      <c r="I9" s="2">
        <f t="shared" si="0"/>
        <v>6.7712215489595939</v>
      </c>
      <c r="J9" s="2">
        <f t="shared" si="0"/>
        <v>21.101862917350942</v>
      </c>
      <c r="K9" s="2">
        <f t="shared" si="0"/>
        <v>52.961780494089616</v>
      </c>
      <c r="L9" s="2">
        <f t="shared" si="0"/>
        <v>85.641109225509382</v>
      </c>
    </row>
    <row r="10" spans="2:12" x14ac:dyDescent="0.35">
      <c r="E10">
        <v>80</v>
      </c>
      <c r="F10" s="2">
        <f t="shared" si="1"/>
        <v>2.2342639712611832E-2</v>
      </c>
      <c r="G10" s="2">
        <f t="shared" si="0"/>
        <v>0.70955055898611408</v>
      </c>
      <c r="H10" s="2">
        <f t="shared" si="0"/>
        <v>7.2482504342524789</v>
      </c>
      <c r="I10" s="2">
        <f t="shared" si="0"/>
        <v>19.053422199831747</v>
      </c>
      <c r="J10" s="2">
        <f t="shared" si="0"/>
        <v>36.599218064115036</v>
      </c>
      <c r="K10" s="2">
        <f t="shared" si="0"/>
        <v>68.710099046409567</v>
      </c>
      <c r="L10" s="2">
        <f t="shared" si="0"/>
        <v>100.85774899693867</v>
      </c>
    </row>
    <row r="11" spans="2:12" x14ac:dyDescent="0.35">
      <c r="E11">
        <v>90</v>
      </c>
      <c r="F11" s="2">
        <f t="shared" si="1"/>
        <v>2.9866550229244031</v>
      </c>
      <c r="G11" s="2">
        <f t="shared" si="0"/>
        <v>8.4488467601548383</v>
      </c>
      <c r="H11" s="2">
        <f t="shared" si="0"/>
        <v>20.225754977998278</v>
      </c>
      <c r="I11" s="2">
        <f t="shared" si="0"/>
        <v>32.779092375954107</v>
      </c>
      <c r="J11" s="2">
        <f t="shared" si="0"/>
        <v>49.439254221601558</v>
      </c>
      <c r="K11" s="2">
        <f t="shared" si="0"/>
        <v>80.279817168440459</v>
      </c>
      <c r="L11" s="2">
        <f t="shared" si="0"/>
        <v>112.27687132938868</v>
      </c>
    </row>
    <row r="12" spans="2:12" x14ac:dyDescent="0.35">
      <c r="E12">
        <v>100</v>
      </c>
      <c r="F12" s="2">
        <f t="shared" si="1"/>
        <v>12.609356355000045</v>
      </c>
      <c r="G12" s="2">
        <f t="shared" si="0"/>
        <v>17.823408836576959</v>
      </c>
      <c r="H12" s="2">
        <f t="shared" si="0"/>
        <v>28.139043554866738</v>
      </c>
      <c r="I12" s="2">
        <f t="shared" si="0"/>
        <v>39.695254731269003</v>
      </c>
      <c r="J12" s="2">
        <f t="shared" si="0"/>
        <v>55.857580293832143</v>
      </c>
      <c r="K12" s="2">
        <f t="shared" si="0"/>
        <v>87.003696566529953</v>
      </c>
      <c r="L12" s="2">
        <f t="shared" si="0"/>
        <v>120.00389439299042</v>
      </c>
    </row>
    <row r="13" spans="2:12" x14ac:dyDescent="0.35">
      <c r="E13">
        <v>110</v>
      </c>
      <c r="F13" s="2">
        <f t="shared" si="1"/>
        <v>4.2486034552258189</v>
      </c>
      <c r="G13" s="2">
        <f t="shared" si="0"/>
        <v>10.595356081353202</v>
      </c>
      <c r="H13" s="2">
        <f t="shared" si="0"/>
        <v>23.516736154771678</v>
      </c>
      <c r="I13" s="2">
        <f t="shared" si="0"/>
        <v>37.163843368439586</v>
      </c>
      <c r="J13" s="2">
        <f t="shared" si="0"/>
        <v>55.35046877826133</v>
      </c>
      <c r="K13" s="2">
        <f t="shared" si="0"/>
        <v>89.20130015486194</v>
      </c>
      <c r="L13" s="2">
        <f t="shared" si="0"/>
        <v>124.44007123297851</v>
      </c>
    </row>
    <row r="14" spans="2:12" x14ac:dyDescent="0.35">
      <c r="E14">
        <v>120</v>
      </c>
      <c r="F14" s="2">
        <f t="shared" si="1"/>
        <v>0.21663485549439088</v>
      </c>
      <c r="G14" s="2">
        <f t="shared" si="0"/>
        <v>2.4451385663581959</v>
      </c>
      <c r="H14" s="2">
        <f t="shared" si="0"/>
        <v>13.427300640085349</v>
      </c>
      <c r="I14" s="2">
        <f t="shared" si="0"/>
        <v>28.699450581388675</v>
      </c>
      <c r="J14" s="2">
        <f t="shared" si="0"/>
        <v>49.710132584213085</v>
      </c>
      <c r="K14" s="2">
        <f t="shared" si="0"/>
        <v>87.707594319450521</v>
      </c>
      <c r="L14" s="2">
        <f t="shared" si="0"/>
        <v>126.10734964667358</v>
      </c>
    </row>
    <row r="15" spans="2:12" x14ac:dyDescent="0.35">
      <c r="E15">
        <v>130</v>
      </c>
      <c r="F15" s="2">
        <f t="shared" si="1"/>
        <v>2.6353362692077553E-3</v>
      </c>
      <c r="G15" s="2">
        <f t="shared" si="0"/>
        <v>0.27513562592673679</v>
      </c>
      <c r="H15" s="2">
        <f t="shared" si="0"/>
        <v>5.7400336616098002</v>
      </c>
      <c r="I15" s="2">
        <f t="shared" si="0"/>
        <v>19.143746343228685</v>
      </c>
      <c r="J15" s="2">
        <f t="shared" si="0"/>
        <v>41.420192393673005</v>
      </c>
      <c r="K15" s="2">
        <f t="shared" si="0"/>
        <v>83.516580546287855</v>
      </c>
      <c r="L15" s="2">
        <f t="shared" si="0"/>
        <v>125.54478493242982</v>
      </c>
    </row>
    <row r="16" spans="2:12" x14ac:dyDescent="0.35">
      <c r="E16">
        <v>140</v>
      </c>
      <c r="F16" s="2">
        <f t="shared" si="1"/>
        <v>1.0660237137471995E-5</v>
      </c>
      <c r="G16" s="2">
        <f t="shared" si="0"/>
        <v>1.7826084253158569E-2</v>
      </c>
      <c r="H16" s="2">
        <f t="shared" si="0"/>
        <v>1.964142288031212</v>
      </c>
      <c r="I16" s="2">
        <f t="shared" si="0"/>
        <v>11.407809595631591</v>
      </c>
      <c r="J16" s="2">
        <f t="shared" si="0"/>
        <v>32.572112488793437</v>
      </c>
      <c r="K16" s="2">
        <f t="shared" si="0"/>
        <v>77.567827761733099</v>
      </c>
      <c r="L16" s="2">
        <f t="shared" si="0"/>
        <v>123.25351378393634</v>
      </c>
    </row>
    <row r="17" spans="5:12" x14ac:dyDescent="0.35">
      <c r="E17">
        <v>150</v>
      </c>
      <c r="F17" s="2">
        <f t="shared" si="1"/>
        <v>1.836752971939859E-8</v>
      </c>
      <c r="G17" s="2">
        <f t="shared" si="0"/>
        <v>7.5268648203064004E-4</v>
      </c>
      <c r="H17" s="2">
        <f t="shared" si="0"/>
        <v>0.5654369711649565</v>
      </c>
      <c r="I17" s="2">
        <f t="shared" si="0"/>
        <v>6.2272820493447512</v>
      </c>
      <c r="J17" s="2">
        <f t="shared" si="0"/>
        <v>24.484138509812681</v>
      </c>
      <c r="K17" s="2">
        <f t="shared" si="0"/>
        <v>70.645767428132444</v>
      </c>
      <c r="L17" s="2">
        <f t="shared" si="0"/>
        <v>119.67195121965091</v>
      </c>
    </row>
    <row r="18" spans="5:12" x14ac:dyDescent="0.35">
      <c r="E18">
        <v>160</v>
      </c>
      <c r="F18" s="2">
        <f t="shared" si="1"/>
        <v>0</v>
      </c>
      <c r="G18" s="2">
        <f t="shared" si="0"/>
        <v>2.2750583639208344E-5</v>
      </c>
      <c r="H18" s="2">
        <f t="shared" si="0"/>
        <v>0.14221408545012082</v>
      </c>
      <c r="I18" s="2">
        <f t="shared" si="0"/>
        <v>3.1738374221745858</v>
      </c>
      <c r="J18" s="2">
        <f t="shared" si="0"/>
        <v>17.763764903406809</v>
      </c>
      <c r="K18" s="2">
        <f t="shared" si="0"/>
        <v>63.351196963949974</v>
      </c>
      <c r="L18" s="2">
        <f t="shared" si="0"/>
        <v>115.16854738907512</v>
      </c>
    </row>
    <row r="19" spans="5:12" x14ac:dyDescent="0.35">
      <c r="E19">
        <v>170</v>
      </c>
      <c r="F19" s="2">
        <f t="shared" si="1"/>
        <v>0</v>
      </c>
      <c r="G19" s="2">
        <f t="shared" si="1"/>
        <v>5.2914117532054661E-7</v>
      </c>
      <c r="H19" s="2">
        <f t="shared" si="1"/>
        <v>3.2171322104090905E-2</v>
      </c>
      <c r="I19" s="2">
        <f t="shared" si="1"/>
        <v>1.5326031522988615</v>
      </c>
      <c r="J19" s="2">
        <f t="shared" si="1"/>
        <v>12.532556870041844</v>
      </c>
      <c r="K19" s="2">
        <f t="shared" si="1"/>
        <v>56.111948816308654</v>
      </c>
      <c r="L19" s="2">
        <f t="shared" si="1"/>
        <v>110.04400396224412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19"/>
  <sheetViews>
    <sheetView workbookViewId="0">
      <selection activeCell="C3" sqref="C3:C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BlackCallRho($E3,$C$3,$C$4,$C$5,F$2,$C$6,$C$8)</f>
        <v>5.1960038756018984E-290</v>
      </c>
      <c r="G3" s="2">
        <f t="shared" ref="G3:L18" si="0">BlackCallRho($E3,$C$3,$C$4,$C$5,G$2,$C$6,$C$8)</f>
        <v>1.196367936794898E-145</v>
      </c>
      <c r="H3" s="2">
        <f t="shared" si="0"/>
        <v>1.0446660001544304E-58</v>
      </c>
      <c r="I3" s="2">
        <f t="shared" si="0"/>
        <v>1.7714257532059172E-29</v>
      </c>
      <c r="J3" s="2">
        <f t="shared" si="0"/>
        <v>1.2083055323403445E-14</v>
      </c>
      <c r="K3" s="2">
        <f t="shared" si="0"/>
        <v>1.9430060446419993E-5</v>
      </c>
      <c r="L3" s="2">
        <f t="shared" si="0"/>
        <v>3.7959058047444295E-2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BlackCallRho($E4,$C$3,$C$4,$C$5,F$2,$C$6,$C$8)</f>
        <v>1.6817289279528335E-142</v>
      </c>
      <c r="G4" s="2">
        <f t="shared" si="0"/>
        <v>9.6647043908028907E-72</v>
      </c>
      <c r="H4" s="2">
        <f t="shared" si="0"/>
        <v>5.8008215001146438E-29</v>
      </c>
      <c r="I4" s="2">
        <f t="shared" si="0"/>
        <v>1.8624027259700502E-14</v>
      </c>
      <c r="J4" s="2">
        <f t="shared" si="0"/>
        <v>5.4884172475610416E-7</v>
      </c>
      <c r="K4" s="2">
        <f t="shared" si="0"/>
        <v>3.3037256312787158E-2</v>
      </c>
      <c r="L4" s="2">
        <f t="shared" si="0"/>
        <v>2.111722912668569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2.3242705148823882E-80</v>
      </c>
      <c r="G5" s="2">
        <f t="shared" si="0"/>
        <v>1.4503367028208253E-40</v>
      </c>
      <c r="H5" s="2">
        <f t="shared" si="0"/>
        <v>2.289079322674146E-16</v>
      </c>
      <c r="I5" s="2">
        <f t="shared" si="0"/>
        <v>4.682769188575278E-8</v>
      </c>
      <c r="J5" s="2">
        <f t="shared" si="0"/>
        <v>1.0919878761126184E-3</v>
      </c>
      <c r="K5" s="2">
        <f t="shared" si="0"/>
        <v>0.8870259198376188</v>
      </c>
      <c r="L5" s="2">
        <f t="shared" si="0"/>
        <v>13.213611559901027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4.5618832132108126E-47</v>
      </c>
      <c r="G6" s="2">
        <f t="shared" si="0"/>
        <v>7.8858787700959926E-24</v>
      </c>
      <c r="H6" s="2">
        <f t="shared" si="0"/>
        <v>1.4397333160028508E-9</v>
      </c>
      <c r="I6" s="2">
        <f t="shared" si="0"/>
        <v>1.4242402047183629E-4</v>
      </c>
      <c r="J6" s="2">
        <f t="shared" si="0"/>
        <v>7.2223050157171981E-2</v>
      </c>
      <c r="K6" s="2">
        <f t="shared" si="0"/>
        <v>5.7641595492349813</v>
      </c>
      <c r="L6" s="2">
        <f t="shared" si="0"/>
        <v>38.781014258933986</v>
      </c>
    </row>
    <row r="7" spans="2:12" x14ac:dyDescent="0.35">
      <c r="E7">
        <v>50</v>
      </c>
      <c r="F7" s="2">
        <f t="shared" si="1"/>
        <v>2.105456942279947E-27</v>
      </c>
      <c r="G7" s="2">
        <f t="shared" si="0"/>
        <v>6.4744782224611679E-14</v>
      </c>
      <c r="H7" s="2">
        <f t="shared" si="0"/>
        <v>1.6566315415308059E-5</v>
      </c>
      <c r="I7" s="2">
        <f t="shared" si="0"/>
        <v>1.8141839996880377E-2</v>
      </c>
      <c r="J7" s="2">
        <f t="shared" si="0"/>
        <v>0.9540131659633091</v>
      </c>
      <c r="K7" s="2">
        <f t="shared" si="0"/>
        <v>19.035197825045813</v>
      </c>
      <c r="L7" s="2">
        <f t="shared" si="0"/>
        <v>78.947080163558326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2.5627387878172386E-15</v>
      </c>
      <c r="G8" s="2">
        <f t="shared" si="0"/>
        <v>8.6168429741691512E-8</v>
      </c>
      <c r="H8" s="2">
        <f t="shared" si="0"/>
        <v>5.767306722424803E-3</v>
      </c>
      <c r="I8" s="2">
        <f t="shared" si="0"/>
        <v>0.39756826354542252</v>
      </c>
      <c r="J8" s="2">
        <f t="shared" si="0"/>
        <v>5.1479305232729473</v>
      </c>
      <c r="K8" s="2">
        <f t="shared" si="0"/>
        <v>42.996708777991444</v>
      </c>
      <c r="L8" s="2">
        <f t="shared" si="0"/>
        <v>130.52476606639996</v>
      </c>
    </row>
    <row r="9" spans="2:12" x14ac:dyDescent="0.35">
      <c r="E9">
        <v>70</v>
      </c>
      <c r="F9" s="2">
        <f t="shared" si="1"/>
        <v>7.0921569313947736E-8</v>
      </c>
      <c r="G9" s="2">
        <f t="shared" si="0"/>
        <v>5.5194031505288147E-4</v>
      </c>
      <c r="H9" s="2">
        <f t="shared" si="0"/>
        <v>0.23800680812471539</v>
      </c>
      <c r="I9" s="2">
        <f t="shared" si="0"/>
        <v>2.9824806160445858</v>
      </c>
      <c r="J9" s="2">
        <f t="shared" si="0"/>
        <v>16.077863125176783</v>
      </c>
      <c r="K9" s="2">
        <f t="shared" si="0"/>
        <v>76.795114201106955</v>
      </c>
      <c r="L9" s="2">
        <f t="shared" si="0"/>
        <v>189.3807911784684</v>
      </c>
    </row>
    <row r="10" spans="2:12" x14ac:dyDescent="0.35">
      <c r="E10">
        <v>80</v>
      </c>
      <c r="F10" s="2">
        <f t="shared" si="1"/>
        <v>1.8554598910214119E-3</v>
      </c>
      <c r="G10" s="2">
        <f t="shared" si="0"/>
        <v>0.11099768946342889</v>
      </c>
      <c r="H10" s="2">
        <f t="shared" si="0"/>
        <v>2.4808743311577341</v>
      </c>
      <c r="I10" s="2">
        <f t="shared" si="0"/>
        <v>11.204623547924619</v>
      </c>
      <c r="J10" s="2">
        <f t="shared" si="0"/>
        <v>35.218838992183699</v>
      </c>
      <c r="K10" s="2">
        <f t="shared" si="0"/>
        <v>117.48588008960058</v>
      </c>
      <c r="L10" s="2">
        <f t="shared" si="0"/>
        <v>251.73216921145601</v>
      </c>
    </row>
    <row r="11" spans="2:12" x14ac:dyDescent="0.35">
      <c r="E11">
        <v>90</v>
      </c>
      <c r="F11" s="2">
        <f t="shared" si="1"/>
        <v>0.44799310433205064</v>
      </c>
      <c r="G11" s="2">
        <f t="shared" si="0"/>
        <v>2.214476643916663</v>
      </c>
      <c r="H11" s="2">
        <f t="shared" si="0"/>
        <v>10.366478581882443</v>
      </c>
      <c r="I11" s="2">
        <f t="shared" si="0"/>
        <v>26.539433016206093</v>
      </c>
      <c r="J11" s="2">
        <f t="shared" si="0"/>
        <v>60.730300848006458</v>
      </c>
      <c r="K11" s="2">
        <f t="shared" si="0"/>
        <v>161.52261500989695</v>
      </c>
      <c r="L11" s="2">
        <f t="shared" si="0"/>
        <v>314.61264542423703</v>
      </c>
    </row>
    <row r="12" spans="2:12" x14ac:dyDescent="0.35">
      <c r="E12">
        <v>100</v>
      </c>
      <c r="F12" s="2">
        <f t="shared" si="1"/>
        <v>4.873864395302796</v>
      </c>
      <c r="G12" s="2">
        <f t="shared" si="0"/>
        <v>9.6432940744461959</v>
      </c>
      <c r="H12" s="2">
        <f t="shared" si="0"/>
        <v>23.590700477029714</v>
      </c>
      <c r="I12" s="2">
        <f t="shared" si="0"/>
        <v>46.017215852831583</v>
      </c>
      <c r="J12" s="2">
        <f t="shared" si="0"/>
        <v>88.753706197000071</v>
      </c>
      <c r="K12" s="2">
        <f t="shared" si="0"/>
        <v>205.7657998244089</v>
      </c>
      <c r="L12" s="2">
        <f t="shared" si="0"/>
        <v>375.91472967053005</v>
      </c>
    </row>
    <row r="13" spans="2:12" x14ac:dyDescent="0.35">
      <c r="E13">
        <v>110</v>
      </c>
      <c r="F13" s="2">
        <f t="shared" si="1"/>
        <v>9.2994257571721306</v>
      </c>
      <c r="G13" s="2">
        <f t="shared" si="0"/>
        <v>16.926881524721438</v>
      </c>
      <c r="H13" s="2">
        <f t="shared" si="0"/>
        <v>36.341175007033044</v>
      </c>
      <c r="I13" s="2">
        <f t="shared" si="0"/>
        <v>64.674629752508039</v>
      </c>
      <c r="J13" s="2">
        <f t="shared" si="0"/>
        <v>115.50383545863241</v>
      </c>
      <c r="K13" s="2">
        <f t="shared" si="0"/>
        <v>247.90820660953727</v>
      </c>
      <c r="L13" s="2">
        <f t="shared" si="0"/>
        <v>434.26365007535492</v>
      </c>
    </row>
    <row r="14" spans="2:12" x14ac:dyDescent="0.35">
      <c r="E14">
        <v>120</v>
      </c>
      <c r="F14" s="2">
        <f t="shared" si="1"/>
        <v>9.9782182066299185</v>
      </c>
      <c r="G14" s="2">
        <f t="shared" si="0"/>
        <v>19.538146691768787</v>
      </c>
      <c r="H14" s="2">
        <f t="shared" si="0"/>
        <v>44.424124545159316</v>
      </c>
      <c r="I14" s="2">
        <f t="shared" si="0"/>
        <v>79.149162514635663</v>
      </c>
      <c r="J14" s="2">
        <f t="shared" si="0"/>
        <v>138.5164112506132</v>
      </c>
      <c r="K14" s="2">
        <f t="shared" si="0"/>
        <v>286.5116264633549</v>
      </c>
      <c r="L14" s="2">
        <f t="shared" si="0"/>
        <v>488.8500641371607</v>
      </c>
    </row>
    <row r="15" spans="2:12" x14ac:dyDescent="0.35">
      <c r="E15">
        <v>130</v>
      </c>
      <c r="F15" s="2">
        <f t="shared" si="1"/>
        <v>9.9998078492902209</v>
      </c>
      <c r="G15" s="2">
        <f t="shared" si="0"/>
        <v>19.961303937208186</v>
      </c>
      <c r="H15" s="2">
        <f t="shared" si="0"/>
        <v>48.141376892800736</v>
      </c>
      <c r="I15" s="2">
        <f t="shared" si="0"/>
        <v>88.720959640564701</v>
      </c>
      <c r="J15" s="2">
        <f t="shared" si="0"/>
        <v>156.82357922681689</v>
      </c>
      <c r="K15" s="2">
        <f t="shared" si="0"/>
        <v>320.85948759224436</v>
      </c>
      <c r="L15" s="2">
        <f t="shared" si="0"/>
        <v>539.27453374857487</v>
      </c>
    </row>
    <row r="16" spans="2:12" x14ac:dyDescent="0.35">
      <c r="E16">
        <v>140</v>
      </c>
      <c r="F16" s="2">
        <f t="shared" si="1"/>
        <v>9.9999993834387624</v>
      </c>
      <c r="G16" s="2">
        <f t="shared" si="0"/>
        <v>19.99798519349838</v>
      </c>
      <c r="H16" s="2">
        <f t="shared" si="0"/>
        <v>49.475726546752696</v>
      </c>
      <c r="I16" s="2">
        <f t="shared" si="0"/>
        <v>94.321642176282694</v>
      </c>
      <c r="J16" s="2">
        <f t="shared" si="0"/>
        <v>170.54477875767304</v>
      </c>
      <c r="K16" s="2">
        <f t="shared" si="0"/>
        <v>350.75836277908223</v>
      </c>
      <c r="L16" s="2">
        <f t="shared" si="0"/>
        <v>585.42084284788132</v>
      </c>
    </row>
    <row r="17" spans="5:12" x14ac:dyDescent="0.35">
      <c r="E17">
        <v>150</v>
      </c>
      <c r="F17" s="2">
        <f t="shared" si="1"/>
        <v>9.9999999990885158</v>
      </c>
      <c r="G17" s="2">
        <f t="shared" si="0"/>
        <v>19.999928280292067</v>
      </c>
      <c r="H17" s="2">
        <f t="shared" si="0"/>
        <v>49.870795741924212</v>
      </c>
      <c r="I17" s="2">
        <f t="shared" si="0"/>
        <v>97.303045929990617</v>
      </c>
      <c r="J17" s="2">
        <f t="shared" si="0"/>
        <v>180.36823875160479</v>
      </c>
      <c r="K17" s="2">
        <f t="shared" si="0"/>
        <v>376.35468989321907</v>
      </c>
      <c r="L17" s="2">
        <f t="shared" si="0"/>
        <v>627.35969124869223</v>
      </c>
    </row>
    <row r="18" spans="5:12" x14ac:dyDescent="0.35">
      <c r="E18">
        <v>160</v>
      </c>
      <c r="F18" s="2">
        <f t="shared" si="1"/>
        <v>10.000000000189857</v>
      </c>
      <c r="G18" s="2">
        <f t="shared" si="0"/>
        <v>19.999998113604534</v>
      </c>
      <c r="H18" s="2">
        <f t="shared" si="0"/>
        <v>49.971423179258068</v>
      </c>
      <c r="I18" s="2">
        <f t="shared" si="0"/>
        <v>98.777610143088168</v>
      </c>
      <c r="J18" s="2">
        <f t="shared" si="0"/>
        <v>187.15624682521081</v>
      </c>
      <c r="K18" s="2">
        <f t="shared" si="0"/>
        <v>397.99075065424461</v>
      </c>
      <c r="L18" s="2">
        <f t="shared" si="0"/>
        <v>665.27858694747977</v>
      </c>
    </row>
    <row r="19" spans="5:12" x14ac:dyDescent="0.35">
      <c r="E19">
        <v>170</v>
      </c>
      <c r="F19" s="2">
        <f t="shared" si="1"/>
        <v>10.000000000189857</v>
      </c>
      <c r="G19" s="2">
        <f t="shared" si="1"/>
        <v>19.999999962081461</v>
      </c>
      <c r="H19" s="2">
        <f t="shared" si="1"/>
        <v>49.994201046885678</v>
      </c>
      <c r="I19" s="2">
        <f t="shared" si="1"/>
        <v>99.466219023227609</v>
      </c>
      <c r="J19" s="2">
        <f t="shared" si="1"/>
        <v>191.71941158376171</v>
      </c>
      <c r="K19" s="2">
        <f t="shared" si="1"/>
        <v>416.10230330483944</v>
      </c>
      <c r="L19" s="2">
        <f t="shared" si="1"/>
        <v>699.43240775707238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L19"/>
  <sheetViews>
    <sheetView workbookViewId="0">
      <selection activeCell="C15" sqref="C15"/>
    </sheetView>
  </sheetViews>
  <sheetFormatPr defaultRowHeight="14.5" x14ac:dyDescent="0.35"/>
  <cols>
    <col min="6" max="6" width="9.81640625" bestFit="1" customWidth="1"/>
    <col min="7" max="8" width="11.81640625" bestFit="1" customWidth="1"/>
  </cols>
  <sheetData>
    <row r="1" spans="2:12" x14ac:dyDescent="0.35">
      <c r="E1" t="s">
        <v>5</v>
      </c>
    </row>
    <row r="2" spans="2:12" x14ac:dyDescent="0.35">
      <c r="F2">
        <v>0.1</v>
      </c>
      <c r="G2">
        <v>0.2</v>
      </c>
      <c r="H2">
        <v>0.5</v>
      </c>
      <c r="I2">
        <v>1</v>
      </c>
      <c r="J2">
        <v>2</v>
      </c>
      <c r="K2">
        <v>5</v>
      </c>
      <c r="L2">
        <v>10</v>
      </c>
    </row>
    <row r="3" spans="2:12" x14ac:dyDescent="0.35">
      <c r="B3" t="s">
        <v>1</v>
      </c>
      <c r="C3">
        <v>0</v>
      </c>
      <c r="E3">
        <v>10</v>
      </c>
      <c r="F3" s="2">
        <f>BlackCallTheta($E3,$C$3,$C$4,$C$5,F$2,$C$6,$C$8)</f>
        <v>-2.1905341774075281E-288</v>
      </c>
      <c r="G3" s="2">
        <f t="shared" ref="G3:L18" si="0">BlackCallTheta($E3,$C$3,$C$4,$C$5,G$2,$C$6,$C$8)</f>
        <v>-1.5919250172381212E-144</v>
      </c>
      <c r="H3" s="2">
        <f t="shared" si="0"/>
        <v>-2.3930910736877085E-58</v>
      </c>
      <c r="I3" s="2">
        <f t="shared" si="0"/>
        <v>-1.0326840582158593E-29</v>
      </c>
      <c r="J3" s="2">
        <f t="shared" si="0"/>
        <v>-1.7927143333701139E-15</v>
      </c>
      <c r="K3" s="2">
        <f t="shared" si="0"/>
        <v>-4.8196964787015389E-7</v>
      </c>
      <c r="L3" s="2">
        <f t="shared" si="0"/>
        <v>-2.5114282950846906E-4</v>
      </c>
    </row>
    <row r="4" spans="2:12" x14ac:dyDescent="0.35">
      <c r="B4" t="s">
        <v>2</v>
      </c>
      <c r="C4">
        <v>0</v>
      </c>
      <c r="E4">
        <v>20</v>
      </c>
      <c r="F4" s="2">
        <f t="shared" ref="F4:L19" si="1">BlackCallTheta($E4,$C$3,$C$4,$C$5,F$2,$C$6,$C$8)</f>
        <v>-5.7972320967752144E-141</v>
      </c>
      <c r="G4" s="2">
        <f t="shared" si="0"/>
        <v>-9.3914662306950858E-71</v>
      </c>
      <c r="H4" s="2">
        <f t="shared" si="0"/>
        <v>-9.4040684392422925E-29</v>
      </c>
      <c r="I4" s="2">
        <f t="shared" si="0"/>
        <v>-7.6854853315251618E-15</v>
      </c>
      <c r="J4" s="2">
        <f t="shared" si="0"/>
        <v>-5.8134874699180041E-8</v>
      </c>
      <c r="K4" s="2">
        <f t="shared" si="0"/>
        <v>-5.9931451810166583E-4</v>
      </c>
      <c r="L4" s="2">
        <f t="shared" si="0"/>
        <v>-1.0531457425681789E-2</v>
      </c>
    </row>
    <row r="5" spans="2:12" x14ac:dyDescent="0.35">
      <c r="B5" t="s">
        <v>3</v>
      </c>
      <c r="C5">
        <v>0.2</v>
      </c>
      <c r="E5">
        <v>30</v>
      </c>
      <c r="F5" s="2">
        <f t="shared" si="1"/>
        <v>-6.4280383807527905E-79</v>
      </c>
      <c r="G5" s="2">
        <f t="shared" si="0"/>
        <v>-1.0764801437185159E-39</v>
      </c>
      <c r="H5" s="2">
        <f t="shared" si="0"/>
        <v>-2.8055882715432163E-16</v>
      </c>
      <c r="I5" s="2">
        <f t="shared" si="0"/>
        <v>-1.4680451007206892E-8</v>
      </c>
      <c r="J5" s="2">
        <f t="shared" si="0"/>
        <v>-8.8902964908136488E-5</v>
      </c>
      <c r="K5" s="2">
        <f t="shared" si="0"/>
        <v>-1.2713215294668512E-2</v>
      </c>
      <c r="L5" s="2">
        <f t="shared" si="0"/>
        <v>-5.3679504280479406E-2</v>
      </c>
    </row>
    <row r="6" spans="2:12" x14ac:dyDescent="0.35">
      <c r="B6" t="s">
        <v>0</v>
      </c>
      <c r="C6">
        <v>100</v>
      </c>
      <c r="E6">
        <v>40</v>
      </c>
      <c r="F6" s="2">
        <f t="shared" si="1"/>
        <v>-9.9908445565476969E-46</v>
      </c>
      <c r="G6" s="2">
        <f t="shared" si="0"/>
        <v>-4.5188905700374796E-23</v>
      </c>
      <c r="H6" s="2">
        <f t="shared" si="0"/>
        <v>-1.3606023540073178E-9</v>
      </c>
      <c r="I6" s="2">
        <f t="shared" si="0"/>
        <v>-3.4726610605059806E-5</v>
      </c>
      <c r="J6" s="2">
        <f t="shared" si="0"/>
        <v>-4.6459127572926612E-3</v>
      </c>
      <c r="K6" s="2">
        <f t="shared" si="0"/>
        <v>-6.7451096081583284E-2</v>
      </c>
      <c r="L6" s="2">
        <f t="shared" si="0"/>
        <v>-0.13286430799563931</v>
      </c>
    </row>
    <row r="7" spans="2:12" x14ac:dyDescent="0.35">
      <c r="E7">
        <v>50</v>
      </c>
      <c r="F7" s="2">
        <f t="shared" si="1"/>
        <v>-3.5810429355141861E-26</v>
      </c>
      <c r="G7" s="2">
        <f t="shared" si="0"/>
        <v>-2.8449979996445293E-13</v>
      </c>
      <c r="H7" s="2">
        <f t="shared" si="0"/>
        <v>-1.2073751161536836E-5</v>
      </c>
      <c r="I7" s="2">
        <f t="shared" si="0"/>
        <v>-3.4581831647822981E-3</v>
      </c>
      <c r="J7" s="2">
        <f t="shared" si="0"/>
        <v>-4.9019286278081942E-2</v>
      </c>
      <c r="K7" s="2">
        <f t="shared" si="0"/>
        <v>-0.18508641341064003</v>
      </c>
      <c r="L7" s="2">
        <f t="shared" si="0"/>
        <v>-0.23271673894154077</v>
      </c>
    </row>
    <row r="8" spans="2:12" x14ac:dyDescent="0.35">
      <c r="B8" t="s">
        <v>4</v>
      </c>
      <c r="C8">
        <v>1E-4</v>
      </c>
      <c r="E8">
        <v>60</v>
      </c>
      <c r="F8" s="2">
        <f t="shared" si="1"/>
        <v>-3.2811427849050219E-14</v>
      </c>
      <c r="G8" s="2">
        <f t="shared" si="0"/>
        <v>-2.8406256904577437E-7</v>
      </c>
      <c r="H8" s="2">
        <f t="shared" si="0"/>
        <v>-3.1986948235580566E-3</v>
      </c>
      <c r="I8" s="2">
        <f t="shared" si="0"/>
        <v>-5.8904575870634412E-2</v>
      </c>
      <c r="J8" s="2">
        <f t="shared" si="0"/>
        <v>-0.21173756796388776</v>
      </c>
      <c r="K8" s="2">
        <f t="shared" si="0"/>
        <v>-0.35099240032199219</v>
      </c>
      <c r="L8" s="2">
        <f t="shared" si="0"/>
        <v>-0.33541611544229966</v>
      </c>
    </row>
    <row r="9" spans="2:12" x14ac:dyDescent="0.35">
      <c r="E9">
        <v>70</v>
      </c>
      <c r="F9" s="2">
        <f t="shared" si="1"/>
        <v>-6.4962625520228115E-7</v>
      </c>
      <c r="G9" s="2">
        <f t="shared" si="0"/>
        <v>-1.3108949688028016E-3</v>
      </c>
      <c r="H9" s="2">
        <f t="shared" si="0"/>
        <v>-9.783648512550272E-2</v>
      </c>
      <c r="I9" s="2">
        <f t="shared" si="0"/>
        <v>-0.33854269900671086</v>
      </c>
      <c r="J9" s="2">
        <f t="shared" si="0"/>
        <v>-0.52754286366418768</v>
      </c>
      <c r="K9" s="2">
        <f t="shared" si="0"/>
        <v>-0.52961893663105997</v>
      </c>
      <c r="L9" s="2">
        <f t="shared" si="0"/>
        <v>-0.42820640117291475</v>
      </c>
    </row>
    <row r="10" spans="2:12" x14ac:dyDescent="0.35">
      <c r="E10">
        <v>80</v>
      </c>
      <c r="F10" s="2">
        <f t="shared" si="1"/>
        <v>-1.113933376546423E-2</v>
      </c>
      <c r="G10" s="2">
        <f t="shared" si="0"/>
        <v>-0.17727170713724774</v>
      </c>
      <c r="H10" s="2">
        <f t="shared" si="0"/>
        <v>-0.72477127008363507</v>
      </c>
      <c r="I10" s="2">
        <f t="shared" si="0"/>
        <v>-0.95266560415363521</v>
      </c>
      <c r="J10" s="2">
        <f t="shared" si="0"/>
        <v>-0.91498505700782218</v>
      </c>
      <c r="K10" s="2">
        <f t="shared" si="0"/>
        <v>-0.68710376414315988</v>
      </c>
      <c r="L10" s="2">
        <f t="shared" si="0"/>
        <v>-0.50428998477514142</v>
      </c>
    </row>
    <row r="11" spans="2:12" x14ac:dyDescent="0.35">
      <c r="E11">
        <v>90</v>
      </c>
      <c r="F11" s="2">
        <f t="shared" si="1"/>
        <v>-1.4926648111555918</v>
      </c>
      <c r="G11" s="2">
        <f t="shared" si="0"/>
        <v>-2.1121100028706485</v>
      </c>
      <c r="H11" s="2">
        <f t="shared" si="0"/>
        <v>-2.0226211167284625</v>
      </c>
      <c r="I11" s="2">
        <f t="shared" si="0"/>
        <v>-1.6389846849040879</v>
      </c>
      <c r="J11" s="2">
        <f t="shared" si="0"/>
        <v>-1.2359949925322411</v>
      </c>
      <c r="K11" s="2">
        <f t="shared" si="0"/>
        <v>-0.80280217088279926</v>
      </c>
      <c r="L11" s="2">
        <f t="shared" si="0"/>
        <v>-0.56138586566945037</v>
      </c>
    </row>
    <row r="12" spans="2:12" x14ac:dyDescent="0.35">
      <c r="E12">
        <v>100</v>
      </c>
      <c r="F12" s="2">
        <f t="shared" si="1"/>
        <v>-6.3062567125227176</v>
      </c>
      <c r="G12" s="2">
        <f t="shared" si="0"/>
        <v>-4.456410444526604</v>
      </c>
      <c r="H12" s="2">
        <f t="shared" si="0"/>
        <v>-2.8140457688508036</v>
      </c>
      <c r="I12" s="2">
        <f t="shared" si="0"/>
        <v>-1.9848128550981059</v>
      </c>
      <c r="J12" s="2">
        <f t="shared" si="0"/>
        <v>-1.3964573135627489</v>
      </c>
      <c r="K12" s="2">
        <f t="shared" si="0"/>
        <v>-0.87004153515479743</v>
      </c>
      <c r="L12" s="2">
        <f t="shared" si="0"/>
        <v>-0.60002112428847454</v>
      </c>
    </row>
    <row r="13" spans="2:12" x14ac:dyDescent="0.35">
      <c r="E13">
        <v>110</v>
      </c>
      <c r="F13" s="2">
        <f t="shared" si="1"/>
        <v>-2.1236269202873359</v>
      </c>
      <c r="G13" s="2">
        <f t="shared" si="0"/>
        <v>-2.6487949812459277</v>
      </c>
      <c r="H13" s="2">
        <f t="shared" si="0"/>
        <v>-2.3517384965199284</v>
      </c>
      <c r="I13" s="2">
        <f t="shared" si="0"/>
        <v>-1.8582285889845451</v>
      </c>
      <c r="J13" s="2">
        <f t="shared" si="0"/>
        <v>-1.3837774189617846</v>
      </c>
      <c r="K13" s="2">
        <f t="shared" si="0"/>
        <v>-0.89201748906475586</v>
      </c>
      <c r="L13" s="2">
        <f t="shared" si="0"/>
        <v>-0.62220203611573766</v>
      </c>
    </row>
    <row r="14" spans="2:12" x14ac:dyDescent="0.35">
      <c r="E14">
        <v>120</v>
      </c>
      <c r="F14" s="2">
        <f t="shared" si="1"/>
        <v>-0.10811939844757035</v>
      </c>
      <c r="G14" s="2">
        <f t="shared" si="0"/>
        <v>-0.61104355649987951</v>
      </c>
      <c r="H14" s="2">
        <f t="shared" si="0"/>
        <v>-1.3426860676091223</v>
      </c>
      <c r="I14" s="2">
        <f t="shared" si="0"/>
        <v>-1.4349790580148181</v>
      </c>
      <c r="J14" s="2">
        <f t="shared" si="0"/>
        <v>-1.242762762529992</v>
      </c>
      <c r="K14" s="2">
        <f t="shared" si="0"/>
        <v>-0.87707983862372885</v>
      </c>
      <c r="L14" s="2">
        <f t="shared" si="0"/>
        <v>-0.63053836036885968</v>
      </c>
    </row>
    <row r="15" spans="2:12" x14ac:dyDescent="0.35">
      <c r="E15">
        <v>130</v>
      </c>
      <c r="F15" s="2">
        <f t="shared" si="1"/>
        <v>-1.3123263897796278E-3</v>
      </c>
      <c r="G15" s="2">
        <f t="shared" si="0"/>
        <v>-6.871842151312535E-2</v>
      </c>
      <c r="H15" s="2">
        <f t="shared" si="0"/>
        <v>-0.57393338993350085</v>
      </c>
      <c r="I15" s="2">
        <f t="shared" si="0"/>
        <v>-0.95717039389597858</v>
      </c>
      <c r="J15" s="2">
        <f t="shared" si="0"/>
        <v>-1.0355069568035447</v>
      </c>
      <c r="K15" s="2">
        <f t="shared" si="0"/>
        <v>-0.83516878749634316</v>
      </c>
      <c r="L15" s="2">
        <f t="shared" si="0"/>
        <v>-0.62772539685340689</v>
      </c>
    </row>
    <row r="16" spans="2:12" x14ac:dyDescent="0.35">
      <c r="E16">
        <v>140</v>
      </c>
      <c r="F16" s="2">
        <f t="shared" si="1"/>
        <v>-5.2937210170966864E-6</v>
      </c>
      <c r="G16" s="2">
        <f t="shared" si="0"/>
        <v>-4.4491720174733018E-3</v>
      </c>
      <c r="H16" s="2">
        <f t="shared" si="0"/>
        <v>-0.19636838434422543</v>
      </c>
      <c r="I16" s="2">
        <f t="shared" si="0"/>
        <v>-0.57036453373626728</v>
      </c>
      <c r="J16" s="2">
        <f t="shared" si="0"/>
        <v>-0.81429886826356324</v>
      </c>
      <c r="K16" s="2">
        <f t="shared" si="0"/>
        <v>-0.77568020238061308</v>
      </c>
      <c r="L16" s="2">
        <f t="shared" si="0"/>
        <v>-0.61626885116794483</v>
      </c>
    </row>
    <row r="17" spans="5:12" x14ac:dyDescent="0.35">
      <c r="E17">
        <v>150</v>
      </c>
      <c r="F17" s="2">
        <f t="shared" si="1"/>
        <v>-8.9883656073652674E-9</v>
      </c>
      <c r="G17" s="2">
        <f t="shared" si="0"/>
        <v>-1.8770951015767423E-4</v>
      </c>
      <c r="H17" s="2">
        <f t="shared" si="0"/>
        <v>-5.6523199845059935E-2</v>
      </c>
      <c r="I17" s="2">
        <f t="shared" si="0"/>
        <v>-0.31133991281961926</v>
      </c>
      <c r="J17" s="2">
        <f t="shared" si="0"/>
        <v>-0.61209559529373792</v>
      </c>
      <c r="K17" s="2">
        <f t="shared" si="0"/>
        <v>-0.70645853615047827</v>
      </c>
      <c r="L17" s="2">
        <f t="shared" si="0"/>
        <v>-0.59836081756969861</v>
      </c>
    </row>
    <row r="18" spans="5:12" x14ac:dyDescent="0.35">
      <c r="E18">
        <v>160</v>
      </c>
      <c r="F18" s="2">
        <f t="shared" si="1"/>
        <v>3.5527136788005009E-11</v>
      </c>
      <c r="G18" s="2">
        <f t="shared" si="0"/>
        <v>-5.6686033644837153E-6</v>
      </c>
      <c r="H18" s="2">
        <f t="shared" si="0"/>
        <v>-1.4214218175823135E-2</v>
      </c>
      <c r="I18" s="2">
        <f t="shared" si="0"/>
        <v>-0.15867387705981173</v>
      </c>
      <c r="J18" s="2">
        <f t="shared" si="0"/>
        <v>-0.44408447063659651</v>
      </c>
      <c r="K18" s="2">
        <f t="shared" si="0"/>
        <v>-0.63351185644933139</v>
      </c>
      <c r="L18" s="2">
        <f t="shared" si="0"/>
        <v>-0.57584356277118331</v>
      </c>
    </row>
    <row r="19" spans="5:12" x14ac:dyDescent="0.35">
      <c r="E19">
        <v>170</v>
      </c>
      <c r="F19" s="2">
        <f t="shared" si="1"/>
        <v>0</v>
      </c>
      <c r="G19" s="2">
        <f t="shared" si="1"/>
        <v>-1.3173462320992257E-7</v>
      </c>
      <c r="H19" s="2">
        <f t="shared" si="1"/>
        <v>-3.2150090589766478E-3</v>
      </c>
      <c r="I19" s="2">
        <f t="shared" si="1"/>
        <v>-7.6618517255155894E-2</v>
      </c>
      <c r="J19" s="2">
        <f t="shared" si="1"/>
        <v>-0.31330411040642048</v>
      </c>
      <c r="K19" s="2">
        <f t="shared" si="1"/>
        <v>-0.56111854107143699</v>
      </c>
      <c r="L19" s="2">
        <f t="shared" si="1"/>
        <v>-0.550220607067331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</vt:lpstr>
      <vt:lpstr>implied vol</vt:lpstr>
      <vt:lpstr>Bachelier</vt:lpstr>
      <vt:lpstr>Delta</vt:lpstr>
      <vt:lpstr>Gamma</vt:lpstr>
      <vt:lpstr>Vega</vt:lpstr>
      <vt:lpstr>Rho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2018-02-01T13:56:31Z</dcterms:modified>
</cp:coreProperties>
</file>