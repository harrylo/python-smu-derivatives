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7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8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9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1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2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3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730" codeName="{91B80F79-697F-C00D-A1F8-6C9A07846A5C}"/>
  <workbookPr filterPrivacy="1" codeName="ThisWorkbook"/>
  <bookViews>
    <workbookView xWindow="0" yWindow="0" windowWidth="22260" windowHeight="12650" firstSheet="2" activeTab="7"/>
  </bookViews>
  <sheets>
    <sheet name="protective puts" sheetId="7" r:id="rId1"/>
    <sheet name="covered call" sheetId="8" r:id="rId2"/>
    <sheet name="bull spread" sheetId="9" r:id="rId3"/>
    <sheet name="digital call" sheetId="10" r:id="rId4"/>
    <sheet name="butterfly" sheetId="12" r:id="rId5"/>
    <sheet name="condor" sheetId="13" r:id="rId6"/>
    <sheet name="ratio" sheetId="14" r:id="rId7"/>
    <sheet name="straddle" sheetId="15" r:id="rId8"/>
    <sheet name="Delta" sheetId="2" r:id="rId9"/>
    <sheet name="Gamma" sheetId="3" r:id="rId10"/>
    <sheet name="Vega" sheetId="4" r:id="rId11"/>
    <sheet name="Rho" sheetId="6" r:id="rId12"/>
    <sheet name="Theta" sheetId="5" r:id="rId13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" i="15" l="1"/>
  <c r="G5" i="15"/>
  <c r="G6" i="15"/>
  <c r="G7" i="15"/>
  <c r="G8" i="15"/>
  <c r="G9" i="15"/>
  <c r="G10" i="15"/>
  <c r="G11" i="15"/>
  <c r="G12" i="15"/>
  <c r="G13" i="15"/>
  <c r="G14" i="15"/>
  <c r="G15" i="15"/>
  <c r="G16" i="15"/>
  <c r="G17" i="15"/>
  <c r="G18" i="15"/>
  <c r="G19" i="15"/>
  <c r="G3" i="15"/>
  <c r="F19" i="15"/>
  <c r="F18" i="15"/>
  <c r="F17" i="15"/>
  <c r="F16" i="15"/>
  <c r="F15" i="15"/>
  <c r="F14" i="15"/>
  <c r="H14" i="15" s="1"/>
  <c r="F13" i="15"/>
  <c r="F12" i="15"/>
  <c r="F11" i="15"/>
  <c r="F10" i="15"/>
  <c r="F9" i="15"/>
  <c r="F8" i="15"/>
  <c r="F7" i="15"/>
  <c r="F6" i="15"/>
  <c r="H6" i="15" s="1"/>
  <c r="F5" i="15"/>
  <c r="F4" i="15"/>
  <c r="F3" i="15"/>
  <c r="G4" i="14"/>
  <c r="G5" i="14"/>
  <c r="H5" i="14" s="1"/>
  <c r="G6" i="14"/>
  <c r="H6" i="14" s="1"/>
  <c r="G7" i="14"/>
  <c r="G8" i="14"/>
  <c r="H8" i="14" s="1"/>
  <c r="G9" i="14"/>
  <c r="G10" i="14"/>
  <c r="G11" i="14"/>
  <c r="H11" i="14" s="1"/>
  <c r="G12" i="14"/>
  <c r="G13" i="14"/>
  <c r="G14" i="14"/>
  <c r="H14" i="14" s="1"/>
  <c r="G15" i="14"/>
  <c r="G16" i="14"/>
  <c r="H16" i="14" s="1"/>
  <c r="G17" i="14"/>
  <c r="G18" i="14"/>
  <c r="G19" i="14"/>
  <c r="H19" i="14" s="1"/>
  <c r="G3" i="14"/>
  <c r="H3" i="14" s="1"/>
  <c r="H4" i="14"/>
  <c r="H7" i="14"/>
  <c r="H9" i="14"/>
  <c r="H10" i="14"/>
  <c r="H12" i="14"/>
  <c r="H13" i="14"/>
  <c r="H15" i="14"/>
  <c r="H17" i="14"/>
  <c r="H18" i="14"/>
  <c r="F19" i="14"/>
  <c r="F18" i="14"/>
  <c r="F17" i="14"/>
  <c r="F16" i="14"/>
  <c r="F15" i="14"/>
  <c r="F14" i="14"/>
  <c r="F13" i="14"/>
  <c r="F12" i="14"/>
  <c r="F11" i="14"/>
  <c r="F10" i="14"/>
  <c r="F9" i="14"/>
  <c r="F8" i="14"/>
  <c r="F7" i="14"/>
  <c r="F6" i="14"/>
  <c r="F5" i="14"/>
  <c r="F4" i="14"/>
  <c r="F3" i="14"/>
  <c r="C9" i="15"/>
  <c r="C9" i="14"/>
  <c r="H8" i="15" l="1"/>
  <c r="H13" i="15"/>
  <c r="H9" i="15"/>
  <c r="H4" i="15"/>
  <c r="H18" i="15"/>
  <c r="H19" i="15"/>
  <c r="H3" i="15"/>
  <c r="H5" i="15"/>
  <c r="H17" i="15"/>
  <c r="H11" i="15"/>
  <c r="H16" i="15"/>
  <c r="H10" i="15"/>
  <c r="H12" i="15"/>
  <c r="H7" i="15"/>
  <c r="H15" i="15"/>
  <c r="J4" i="13"/>
  <c r="J5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3" i="13"/>
  <c r="I4" i="13"/>
  <c r="I5" i="13"/>
  <c r="I6" i="13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3" i="13"/>
  <c r="G4" i="13"/>
  <c r="G5" i="13"/>
  <c r="G6" i="13"/>
  <c r="G7" i="13"/>
  <c r="G8" i="13"/>
  <c r="G9" i="13"/>
  <c r="G10" i="13"/>
  <c r="G11" i="13"/>
  <c r="G12" i="13"/>
  <c r="G13" i="13"/>
  <c r="G14" i="13"/>
  <c r="G15" i="13"/>
  <c r="G16" i="13"/>
  <c r="G17" i="13"/>
  <c r="G18" i="13"/>
  <c r="G19" i="13"/>
  <c r="G3" i="13"/>
  <c r="H40" i="13"/>
  <c r="G40" i="13"/>
  <c r="I40" i="13" s="1"/>
  <c r="F40" i="13"/>
  <c r="H39" i="13"/>
  <c r="G39" i="13"/>
  <c r="I39" i="13" s="1"/>
  <c r="F39" i="13"/>
  <c r="H38" i="13"/>
  <c r="G38" i="13"/>
  <c r="I38" i="13" s="1"/>
  <c r="F38" i="13"/>
  <c r="H37" i="13"/>
  <c r="G37" i="13"/>
  <c r="I37" i="13" s="1"/>
  <c r="F37" i="13"/>
  <c r="H36" i="13"/>
  <c r="G36" i="13"/>
  <c r="I36" i="13" s="1"/>
  <c r="F36" i="13"/>
  <c r="H35" i="13"/>
  <c r="G35" i="13"/>
  <c r="I35" i="13" s="1"/>
  <c r="F35" i="13"/>
  <c r="H34" i="13"/>
  <c r="G34" i="13"/>
  <c r="I34" i="13" s="1"/>
  <c r="F34" i="13"/>
  <c r="H33" i="13"/>
  <c r="G33" i="13"/>
  <c r="I33" i="13" s="1"/>
  <c r="F33" i="13"/>
  <c r="H32" i="13"/>
  <c r="G32" i="13"/>
  <c r="I32" i="13" s="1"/>
  <c r="F32" i="13"/>
  <c r="H31" i="13"/>
  <c r="G31" i="13"/>
  <c r="I31" i="13" s="1"/>
  <c r="F31" i="13"/>
  <c r="H30" i="13"/>
  <c r="G30" i="13"/>
  <c r="I30" i="13" s="1"/>
  <c r="F30" i="13"/>
  <c r="H29" i="13"/>
  <c r="G29" i="13"/>
  <c r="I29" i="13" s="1"/>
  <c r="F29" i="13"/>
  <c r="H28" i="13"/>
  <c r="G28" i="13"/>
  <c r="I28" i="13" s="1"/>
  <c r="F28" i="13"/>
  <c r="H27" i="13"/>
  <c r="G27" i="13"/>
  <c r="I27" i="13" s="1"/>
  <c r="F27" i="13"/>
  <c r="H26" i="13"/>
  <c r="G26" i="13"/>
  <c r="I26" i="13" s="1"/>
  <c r="F26" i="13"/>
  <c r="H25" i="13"/>
  <c r="G25" i="13"/>
  <c r="I25" i="13" s="1"/>
  <c r="F25" i="13"/>
  <c r="H24" i="13"/>
  <c r="G24" i="13"/>
  <c r="I24" i="13" s="1"/>
  <c r="F24" i="13"/>
  <c r="F19" i="13"/>
  <c r="F18" i="13"/>
  <c r="F17" i="13"/>
  <c r="F16" i="13"/>
  <c r="F15" i="13"/>
  <c r="F14" i="13"/>
  <c r="F13" i="13"/>
  <c r="F12" i="13"/>
  <c r="F11" i="13"/>
  <c r="F10" i="13"/>
  <c r="F9" i="13"/>
  <c r="F8" i="13"/>
  <c r="F7" i="13"/>
  <c r="F6" i="13"/>
  <c r="F5" i="13"/>
  <c r="F4" i="13"/>
  <c r="F3" i="13"/>
  <c r="G25" i="12"/>
  <c r="G26" i="12"/>
  <c r="G27" i="12"/>
  <c r="G28" i="12"/>
  <c r="G29" i="12"/>
  <c r="G30" i="12"/>
  <c r="I30" i="12" s="1"/>
  <c r="G31" i="12"/>
  <c r="I31" i="12" s="1"/>
  <c r="G32" i="12"/>
  <c r="I32" i="12" s="1"/>
  <c r="G33" i="12"/>
  <c r="G34" i="12"/>
  <c r="G35" i="12"/>
  <c r="G36" i="12"/>
  <c r="G37" i="12"/>
  <c r="G38" i="12"/>
  <c r="G39" i="12"/>
  <c r="G40" i="12"/>
  <c r="I40" i="12" s="1"/>
  <c r="G24" i="12"/>
  <c r="F25" i="12"/>
  <c r="I25" i="12" s="1"/>
  <c r="H25" i="12"/>
  <c r="F26" i="12"/>
  <c r="H26" i="12"/>
  <c r="F27" i="12"/>
  <c r="H27" i="12"/>
  <c r="F28" i="12"/>
  <c r="I28" i="12" s="1"/>
  <c r="H28" i="12"/>
  <c r="F29" i="12"/>
  <c r="H29" i="12"/>
  <c r="F30" i="12"/>
  <c r="H30" i="12"/>
  <c r="F31" i="12"/>
  <c r="H31" i="12"/>
  <c r="F32" i="12"/>
  <c r="H32" i="12"/>
  <c r="F33" i="12"/>
  <c r="I33" i="12" s="1"/>
  <c r="H33" i="12"/>
  <c r="F34" i="12"/>
  <c r="I34" i="12"/>
  <c r="H34" i="12"/>
  <c r="F35" i="12"/>
  <c r="H35" i="12"/>
  <c r="F36" i="12"/>
  <c r="I36" i="12" s="1"/>
  <c r="H36" i="12"/>
  <c r="F37" i="12"/>
  <c r="H37" i="12"/>
  <c r="F38" i="12"/>
  <c r="I38" i="12"/>
  <c r="H38" i="12"/>
  <c r="F39" i="12"/>
  <c r="H39" i="12"/>
  <c r="F40" i="12"/>
  <c r="H40" i="12"/>
  <c r="H24" i="12"/>
  <c r="F24" i="12"/>
  <c r="I35" i="12"/>
  <c r="I27" i="12"/>
  <c r="I26" i="12"/>
  <c r="G4" i="12"/>
  <c r="G5" i="12"/>
  <c r="G6" i="12"/>
  <c r="G7" i="12"/>
  <c r="G8" i="12"/>
  <c r="G9" i="12"/>
  <c r="G10" i="12"/>
  <c r="I10" i="12" s="1"/>
  <c r="G11" i="12"/>
  <c r="G12" i="12"/>
  <c r="G13" i="12"/>
  <c r="I13" i="12" s="1"/>
  <c r="G14" i="12"/>
  <c r="G15" i="12"/>
  <c r="G16" i="12"/>
  <c r="G17" i="12"/>
  <c r="I17" i="12" s="1"/>
  <c r="G18" i="12"/>
  <c r="I18" i="12" s="1"/>
  <c r="G19" i="12"/>
  <c r="G3" i="12"/>
  <c r="H4" i="12"/>
  <c r="H5" i="12"/>
  <c r="H6" i="12"/>
  <c r="H7" i="12"/>
  <c r="H8" i="12"/>
  <c r="H9" i="12"/>
  <c r="H10" i="12"/>
  <c r="H11" i="12"/>
  <c r="H12" i="12"/>
  <c r="H13" i="12"/>
  <c r="H14" i="12"/>
  <c r="H15" i="12"/>
  <c r="H16" i="12"/>
  <c r="H17" i="12"/>
  <c r="H18" i="12"/>
  <c r="H19" i="12"/>
  <c r="H3" i="12"/>
  <c r="F19" i="12"/>
  <c r="I19" i="12" s="1"/>
  <c r="F18" i="12"/>
  <c r="F17" i="12"/>
  <c r="F16" i="12"/>
  <c r="I16" i="12" s="1"/>
  <c r="F15" i="12"/>
  <c r="I15" i="12" s="1"/>
  <c r="F14" i="12"/>
  <c r="I14" i="12" s="1"/>
  <c r="F13" i="12"/>
  <c r="F12" i="12"/>
  <c r="I12" i="12" s="1"/>
  <c r="F11" i="12"/>
  <c r="I11" i="12" s="1"/>
  <c r="F10" i="12"/>
  <c r="F9" i="12"/>
  <c r="I9" i="12" s="1"/>
  <c r="F8" i="12"/>
  <c r="I8" i="12" s="1"/>
  <c r="F7" i="12"/>
  <c r="I7" i="12" s="1"/>
  <c r="F6" i="12"/>
  <c r="I6" i="12" s="1"/>
  <c r="F5" i="12"/>
  <c r="I5" i="12" s="1"/>
  <c r="F4" i="12"/>
  <c r="I4" i="12" s="1"/>
  <c r="F3" i="12"/>
  <c r="I3" i="12" s="1"/>
  <c r="K3" i="10"/>
  <c r="C9" i="13"/>
  <c r="C9" i="12"/>
  <c r="I37" i="12" l="1"/>
  <c r="I39" i="12"/>
  <c r="I29" i="12"/>
  <c r="I24" i="12"/>
  <c r="I4" i="10"/>
  <c r="K4" i="10" s="1"/>
  <c r="J4" i="10"/>
  <c r="I5" i="10"/>
  <c r="J5" i="10"/>
  <c r="K5" i="10"/>
  <c r="I6" i="10"/>
  <c r="J6" i="10"/>
  <c r="K6" i="10"/>
  <c r="I7" i="10"/>
  <c r="K7" i="10" s="1"/>
  <c r="J7" i="10"/>
  <c r="I8" i="10"/>
  <c r="K8" i="10" s="1"/>
  <c r="J8" i="10"/>
  <c r="I9" i="10"/>
  <c r="J9" i="10"/>
  <c r="K9" i="10"/>
  <c r="I10" i="10"/>
  <c r="J10" i="10"/>
  <c r="K10" i="10"/>
  <c r="I11" i="10"/>
  <c r="K11" i="10" s="1"/>
  <c r="J11" i="10"/>
  <c r="I12" i="10"/>
  <c r="K12" i="10" s="1"/>
  <c r="J12" i="10"/>
  <c r="I13" i="10"/>
  <c r="J13" i="10"/>
  <c r="K13" i="10"/>
  <c r="I14" i="10"/>
  <c r="J14" i="10"/>
  <c r="K14" i="10"/>
  <c r="I15" i="10"/>
  <c r="K15" i="10" s="1"/>
  <c r="J15" i="10"/>
  <c r="I16" i="10"/>
  <c r="K16" i="10" s="1"/>
  <c r="J16" i="10"/>
  <c r="I17" i="10"/>
  <c r="J17" i="10"/>
  <c r="K17" i="10"/>
  <c r="I18" i="10"/>
  <c r="J18" i="10"/>
  <c r="K18" i="10"/>
  <c r="I19" i="10"/>
  <c r="K19" i="10" s="1"/>
  <c r="J19" i="10"/>
  <c r="I20" i="10"/>
  <c r="K20" i="10" s="1"/>
  <c r="J20" i="10"/>
  <c r="I21" i="10"/>
  <c r="J21" i="10"/>
  <c r="K21" i="10"/>
  <c r="I22" i="10"/>
  <c r="J22" i="10"/>
  <c r="K22" i="10"/>
  <c r="I23" i="10"/>
  <c r="K23" i="10" s="1"/>
  <c r="J23" i="10"/>
  <c r="I24" i="10"/>
  <c r="K24" i="10" s="1"/>
  <c r="J24" i="10"/>
  <c r="I25" i="10"/>
  <c r="J25" i="10"/>
  <c r="K25" i="10"/>
  <c r="I26" i="10"/>
  <c r="J26" i="10"/>
  <c r="K26" i="10"/>
  <c r="I27" i="10"/>
  <c r="K27" i="10" s="1"/>
  <c r="J27" i="10"/>
  <c r="I28" i="10"/>
  <c r="K28" i="10" s="1"/>
  <c r="J28" i="10"/>
  <c r="I29" i="10"/>
  <c r="J29" i="10"/>
  <c r="K29" i="10"/>
  <c r="I30" i="10"/>
  <c r="J30" i="10"/>
  <c r="K30" i="10"/>
  <c r="I31" i="10"/>
  <c r="K31" i="10" s="1"/>
  <c r="J31" i="10"/>
  <c r="I32" i="10"/>
  <c r="K32" i="10" s="1"/>
  <c r="J32" i="10"/>
  <c r="I33" i="10"/>
  <c r="J33" i="10"/>
  <c r="K33" i="10"/>
  <c r="I34" i="10"/>
  <c r="J34" i="10"/>
  <c r="K34" i="10"/>
  <c r="I35" i="10"/>
  <c r="K35" i="10" s="1"/>
  <c r="J35" i="10"/>
  <c r="I36" i="10"/>
  <c r="K36" i="10" s="1"/>
  <c r="J36" i="10"/>
  <c r="I37" i="10"/>
  <c r="J37" i="10"/>
  <c r="K37" i="10"/>
  <c r="I38" i="10"/>
  <c r="J38" i="10"/>
  <c r="K38" i="10"/>
  <c r="I39" i="10"/>
  <c r="K39" i="10" s="1"/>
  <c r="J39" i="10"/>
  <c r="I40" i="10"/>
  <c r="K40" i="10" s="1"/>
  <c r="J40" i="10"/>
  <c r="I41" i="10"/>
  <c r="J41" i="10"/>
  <c r="K41" i="10"/>
  <c r="I42" i="10"/>
  <c r="J42" i="10"/>
  <c r="K42" i="10"/>
  <c r="I43" i="10"/>
  <c r="K43" i="10" s="1"/>
  <c r="J43" i="10"/>
  <c r="I44" i="10"/>
  <c r="K44" i="10" s="1"/>
  <c r="J44" i="10"/>
  <c r="I45" i="10"/>
  <c r="J45" i="10"/>
  <c r="K45" i="10"/>
  <c r="I46" i="10"/>
  <c r="J46" i="10"/>
  <c r="K46" i="10"/>
  <c r="I47" i="10"/>
  <c r="K47" i="10" s="1"/>
  <c r="J47" i="10"/>
  <c r="I48" i="10"/>
  <c r="K48" i="10" s="1"/>
  <c r="J48" i="10"/>
  <c r="I49" i="10"/>
  <c r="J49" i="10"/>
  <c r="K49" i="10"/>
  <c r="I50" i="10"/>
  <c r="J50" i="10"/>
  <c r="K50" i="10"/>
  <c r="I51" i="10"/>
  <c r="K51" i="10" s="1"/>
  <c r="J51" i="10"/>
  <c r="I52" i="10"/>
  <c r="K52" i="10" s="1"/>
  <c r="J52" i="10"/>
  <c r="I53" i="10"/>
  <c r="J53" i="10"/>
  <c r="K53" i="10"/>
  <c r="I54" i="10"/>
  <c r="J54" i="10"/>
  <c r="K54" i="10"/>
  <c r="I55" i="10"/>
  <c r="K55" i="10" s="1"/>
  <c r="J55" i="10"/>
  <c r="I56" i="10"/>
  <c r="K56" i="10" s="1"/>
  <c r="J56" i="10"/>
  <c r="I57" i="10"/>
  <c r="J57" i="10"/>
  <c r="K57" i="10"/>
  <c r="I58" i="10"/>
  <c r="J58" i="10"/>
  <c r="K58" i="10"/>
  <c r="I59" i="10"/>
  <c r="K59" i="10" s="1"/>
  <c r="J59" i="10"/>
  <c r="I60" i="10"/>
  <c r="K60" i="10" s="1"/>
  <c r="J60" i="10"/>
  <c r="I61" i="10"/>
  <c r="J61" i="10"/>
  <c r="K61" i="10"/>
  <c r="I62" i="10"/>
  <c r="J62" i="10"/>
  <c r="K62" i="10"/>
  <c r="I63" i="10"/>
  <c r="K63" i="10" s="1"/>
  <c r="J63" i="10"/>
  <c r="I64" i="10"/>
  <c r="K64" i="10" s="1"/>
  <c r="J64" i="10"/>
  <c r="I65" i="10"/>
  <c r="J65" i="10"/>
  <c r="K65" i="10"/>
  <c r="I66" i="10"/>
  <c r="J66" i="10"/>
  <c r="K66" i="10"/>
  <c r="I67" i="10"/>
  <c r="K67" i="10" s="1"/>
  <c r="J67" i="10"/>
  <c r="I68" i="10"/>
  <c r="K68" i="10" s="1"/>
  <c r="J68" i="10"/>
  <c r="I69" i="10"/>
  <c r="J69" i="10"/>
  <c r="K69" i="10"/>
  <c r="I70" i="10"/>
  <c r="J70" i="10"/>
  <c r="K70" i="10"/>
  <c r="I71" i="10"/>
  <c r="K71" i="10" s="1"/>
  <c r="J71" i="10"/>
  <c r="I72" i="10"/>
  <c r="K72" i="10" s="1"/>
  <c r="J72" i="10"/>
  <c r="I73" i="10"/>
  <c r="J73" i="10"/>
  <c r="K73" i="10"/>
  <c r="I74" i="10"/>
  <c r="J74" i="10"/>
  <c r="K74" i="10"/>
  <c r="I75" i="10"/>
  <c r="K75" i="10" s="1"/>
  <c r="J75" i="10"/>
  <c r="I76" i="10"/>
  <c r="K76" i="10" s="1"/>
  <c r="J76" i="10"/>
  <c r="I77" i="10"/>
  <c r="J77" i="10"/>
  <c r="K77" i="10"/>
  <c r="I78" i="10"/>
  <c r="J78" i="10"/>
  <c r="K78" i="10"/>
  <c r="I79" i="10"/>
  <c r="K79" i="10" s="1"/>
  <c r="J79" i="10"/>
  <c r="I80" i="10"/>
  <c r="K80" i="10" s="1"/>
  <c r="J80" i="10"/>
  <c r="I81" i="10"/>
  <c r="J81" i="10"/>
  <c r="K81" i="10"/>
  <c r="I82" i="10"/>
  <c r="J82" i="10"/>
  <c r="K82" i="10"/>
  <c r="I83" i="10"/>
  <c r="K83" i="10" s="1"/>
  <c r="J83" i="10"/>
  <c r="I84" i="10"/>
  <c r="K84" i="10" s="1"/>
  <c r="J84" i="10"/>
  <c r="I85" i="10"/>
  <c r="J85" i="10"/>
  <c r="K85" i="10"/>
  <c r="I86" i="10"/>
  <c r="J86" i="10"/>
  <c r="K86" i="10"/>
  <c r="I87" i="10"/>
  <c r="K87" i="10" s="1"/>
  <c r="J87" i="10"/>
  <c r="I88" i="10"/>
  <c r="K88" i="10" s="1"/>
  <c r="J88" i="10"/>
  <c r="I89" i="10"/>
  <c r="J89" i="10"/>
  <c r="K89" i="10"/>
  <c r="I90" i="10"/>
  <c r="J90" i="10"/>
  <c r="K90" i="10"/>
  <c r="I91" i="10"/>
  <c r="K91" i="10" s="1"/>
  <c r="J91" i="10"/>
  <c r="I92" i="10"/>
  <c r="K92" i="10" s="1"/>
  <c r="J92" i="10"/>
  <c r="I93" i="10"/>
  <c r="J93" i="10"/>
  <c r="K93" i="10"/>
  <c r="I94" i="10"/>
  <c r="J94" i="10"/>
  <c r="K94" i="10"/>
  <c r="I95" i="10"/>
  <c r="K95" i="10" s="1"/>
  <c r="J95" i="10"/>
  <c r="I96" i="10"/>
  <c r="K96" i="10" s="1"/>
  <c r="J96" i="10"/>
  <c r="I97" i="10"/>
  <c r="J97" i="10"/>
  <c r="K97" i="10"/>
  <c r="I98" i="10"/>
  <c r="J98" i="10"/>
  <c r="K98" i="10"/>
  <c r="I99" i="10"/>
  <c r="K99" i="10" s="1"/>
  <c r="J99" i="10"/>
  <c r="I100" i="10"/>
  <c r="K100" i="10" s="1"/>
  <c r="J100" i="10"/>
  <c r="I101" i="10"/>
  <c r="J101" i="10"/>
  <c r="K101" i="10"/>
  <c r="I102" i="10"/>
  <c r="J102" i="10"/>
  <c r="K102" i="10"/>
  <c r="I103" i="10"/>
  <c r="K103" i="10" s="1"/>
  <c r="J103" i="10"/>
  <c r="I104" i="10"/>
  <c r="K104" i="10" s="1"/>
  <c r="J104" i="10"/>
  <c r="I105" i="10"/>
  <c r="J105" i="10"/>
  <c r="K105" i="10"/>
  <c r="I106" i="10"/>
  <c r="J106" i="10"/>
  <c r="K106" i="10"/>
  <c r="I107" i="10"/>
  <c r="K107" i="10" s="1"/>
  <c r="J107" i="10"/>
  <c r="I108" i="10"/>
  <c r="K108" i="10" s="1"/>
  <c r="J108" i="10"/>
  <c r="I109" i="10"/>
  <c r="J109" i="10"/>
  <c r="K109" i="10"/>
  <c r="I110" i="10"/>
  <c r="J110" i="10"/>
  <c r="K110" i="10"/>
  <c r="I111" i="10"/>
  <c r="K111" i="10" s="1"/>
  <c r="J111" i="10"/>
  <c r="I112" i="10"/>
  <c r="K112" i="10" s="1"/>
  <c r="J112" i="10"/>
  <c r="I113" i="10"/>
  <c r="J113" i="10"/>
  <c r="K113" i="10"/>
  <c r="I114" i="10"/>
  <c r="J114" i="10"/>
  <c r="K114" i="10"/>
  <c r="I115" i="10"/>
  <c r="K115" i="10" s="1"/>
  <c r="J115" i="10"/>
  <c r="I116" i="10"/>
  <c r="K116" i="10" s="1"/>
  <c r="J116" i="10"/>
  <c r="I117" i="10"/>
  <c r="J117" i="10"/>
  <c r="K117" i="10"/>
  <c r="I118" i="10"/>
  <c r="J118" i="10"/>
  <c r="K118" i="10"/>
  <c r="I119" i="10"/>
  <c r="K119" i="10" s="1"/>
  <c r="J119" i="10"/>
  <c r="I120" i="10"/>
  <c r="K120" i="10" s="1"/>
  <c r="J120" i="10"/>
  <c r="I121" i="10"/>
  <c r="J121" i="10"/>
  <c r="K121" i="10"/>
  <c r="I122" i="10"/>
  <c r="J122" i="10"/>
  <c r="K122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31" i="10"/>
  <c r="H32" i="10"/>
  <c r="H33" i="10"/>
  <c r="H34" i="10"/>
  <c r="H35" i="10"/>
  <c r="H36" i="10"/>
  <c r="H37" i="10"/>
  <c r="H38" i="10"/>
  <c r="H39" i="10"/>
  <c r="H40" i="10"/>
  <c r="H41" i="10"/>
  <c r="H42" i="10"/>
  <c r="H43" i="10"/>
  <c r="H44" i="10"/>
  <c r="H45" i="10"/>
  <c r="H46" i="10"/>
  <c r="H47" i="10"/>
  <c r="H48" i="10"/>
  <c r="H49" i="10"/>
  <c r="H50" i="10"/>
  <c r="H51" i="10"/>
  <c r="H52" i="10"/>
  <c r="H53" i="10"/>
  <c r="H54" i="10"/>
  <c r="H55" i="10"/>
  <c r="H56" i="10"/>
  <c r="H57" i="10"/>
  <c r="H58" i="10"/>
  <c r="H59" i="10"/>
  <c r="H60" i="10"/>
  <c r="H61" i="10"/>
  <c r="H62" i="10"/>
  <c r="H63" i="10"/>
  <c r="H64" i="10"/>
  <c r="H65" i="10"/>
  <c r="H66" i="10"/>
  <c r="H67" i="10"/>
  <c r="H68" i="10"/>
  <c r="H69" i="10"/>
  <c r="H70" i="10"/>
  <c r="H71" i="10"/>
  <c r="H72" i="10"/>
  <c r="H73" i="10"/>
  <c r="H74" i="10"/>
  <c r="H75" i="10"/>
  <c r="H76" i="10"/>
  <c r="H77" i="10"/>
  <c r="H78" i="10"/>
  <c r="H79" i="10"/>
  <c r="H80" i="10"/>
  <c r="H81" i="10"/>
  <c r="H82" i="10"/>
  <c r="H83" i="10"/>
  <c r="H84" i="10"/>
  <c r="H85" i="10"/>
  <c r="H86" i="10"/>
  <c r="H87" i="10"/>
  <c r="H88" i="10"/>
  <c r="H89" i="10"/>
  <c r="H90" i="10"/>
  <c r="H91" i="10"/>
  <c r="H92" i="10"/>
  <c r="H93" i="10"/>
  <c r="H94" i="10"/>
  <c r="H95" i="10"/>
  <c r="H96" i="10"/>
  <c r="H97" i="10"/>
  <c r="H98" i="10"/>
  <c r="H99" i="10"/>
  <c r="H100" i="10"/>
  <c r="H101" i="10"/>
  <c r="H102" i="10"/>
  <c r="H103" i="10"/>
  <c r="H104" i="10"/>
  <c r="H105" i="10"/>
  <c r="H106" i="10"/>
  <c r="H107" i="10"/>
  <c r="H108" i="10"/>
  <c r="H109" i="10"/>
  <c r="H110" i="10"/>
  <c r="H111" i="10"/>
  <c r="H112" i="10"/>
  <c r="H113" i="10"/>
  <c r="H114" i="10"/>
  <c r="H115" i="10"/>
  <c r="H116" i="10"/>
  <c r="H117" i="10"/>
  <c r="H118" i="10"/>
  <c r="H119" i="10"/>
  <c r="H120" i="10"/>
  <c r="H121" i="10"/>
  <c r="H122" i="10"/>
  <c r="H3" i="10"/>
  <c r="I3" i="10"/>
  <c r="J3" i="10"/>
  <c r="F20" i="10"/>
  <c r="G20" i="10"/>
  <c r="L20" i="10"/>
  <c r="F21" i="10"/>
  <c r="G21" i="10"/>
  <c r="L21" i="10"/>
  <c r="F22" i="10"/>
  <c r="G22" i="10"/>
  <c r="L22" i="10"/>
  <c r="F23" i="10"/>
  <c r="G23" i="10"/>
  <c r="L23" i="10"/>
  <c r="F24" i="10"/>
  <c r="G24" i="10"/>
  <c r="L24" i="10"/>
  <c r="F25" i="10"/>
  <c r="G25" i="10"/>
  <c r="L25" i="10"/>
  <c r="F26" i="10"/>
  <c r="G26" i="10"/>
  <c r="L26" i="10"/>
  <c r="F27" i="10"/>
  <c r="G27" i="10"/>
  <c r="L27" i="10"/>
  <c r="F28" i="10"/>
  <c r="G28" i="10"/>
  <c r="L28" i="10"/>
  <c r="F29" i="10"/>
  <c r="G29" i="10"/>
  <c r="L29" i="10"/>
  <c r="F30" i="10"/>
  <c r="G30" i="10"/>
  <c r="L30" i="10"/>
  <c r="F31" i="10"/>
  <c r="G31" i="10"/>
  <c r="L31" i="10"/>
  <c r="F32" i="10"/>
  <c r="G32" i="10"/>
  <c r="L32" i="10"/>
  <c r="F33" i="10"/>
  <c r="G33" i="10"/>
  <c r="L33" i="10"/>
  <c r="F34" i="10"/>
  <c r="G34" i="10"/>
  <c r="L34" i="10"/>
  <c r="F35" i="10"/>
  <c r="G35" i="10"/>
  <c r="L35" i="10"/>
  <c r="F36" i="10"/>
  <c r="G36" i="10"/>
  <c r="L36" i="10"/>
  <c r="F37" i="10"/>
  <c r="G37" i="10"/>
  <c r="L37" i="10"/>
  <c r="F38" i="10"/>
  <c r="G38" i="10"/>
  <c r="L38" i="10"/>
  <c r="F39" i="10"/>
  <c r="G39" i="10"/>
  <c r="L39" i="10"/>
  <c r="F40" i="10"/>
  <c r="G40" i="10"/>
  <c r="L40" i="10"/>
  <c r="F41" i="10"/>
  <c r="G41" i="10"/>
  <c r="L41" i="10"/>
  <c r="F42" i="10"/>
  <c r="G42" i="10"/>
  <c r="L42" i="10"/>
  <c r="F43" i="10"/>
  <c r="G43" i="10"/>
  <c r="L43" i="10"/>
  <c r="F44" i="10"/>
  <c r="G44" i="10"/>
  <c r="L44" i="10"/>
  <c r="F45" i="10"/>
  <c r="G45" i="10"/>
  <c r="L45" i="10"/>
  <c r="F46" i="10"/>
  <c r="G46" i="10"/>
  <c r="L46" i="10"/>
  <c r="F47" i="10"/>
  <c r="G47" i="10"/>
  <c r="L47" i="10"/>
  <c r="F48" i="10"/>
  <c r="G48" i="10"/>
  <c r="L48" i="10"/>
  <c r="F49" i="10"/>
  <c r="G49" i="10"/>
  <c r="L49" i="10"/>
  <c r="F50" i="10"/>
  <c r="G50" i="10"/>
  <c r="L50" i="10"/>
  <c r="F51" i="10"/>
  <c r="G51" i="10"/>
  <c r="L51" i="10"/>
  <c r="F52" i="10"/>
  <c r="G52" i="10"/>
  <c r="L52" i="10"/>
  <c r="F53" i="10"/>
  <c r="G53" i="10"/>
  <c r="L53" i="10"/>
  <c r="F54" i="10"/>
  <c r="G54" i="10"/>
  <c r="L54" i="10"/>
  <c r="F55" i="10"/>
  <c r="G55" i="10"/>
  <c r="L55" i="10"/>
  <c r="F56" i="10"/>
  <c r="G56" i="10"/>
  <c r="L56" i="10"/>
  <c r="F57" i="10"/>
  <c r="G57" i="10"/>
  <c r="L57" i="10"/>
  <c r="F58" i="10"/>
  <c r="G58" i="10"/>
  <c r="L58" i="10"/>
  <c r="F59" i="10"/>
  <c r="G59" i="10"/>
  <c r="L59" i="10"/>
  <c r="F60" i="10"/>
  <c r="G60" i="10"/>
  <c r="L60" i="10"/>
  <c r="F61" i="10"/>
  <c r="G61" i="10"/>
  <c r="L61" i="10"/>
  <c r="F62" i="10"/>
  <c r="G62" i="10"/>
  <c r="L62" i="10"/>
  <c r="F63" i="10"/>
  <c r="G63" i="10"/>
  <c r="L63" i="10"/>
  <c r="F64" i="10"/>
  <c r="G64" i="10"/>
  <c r="L64" i="10"/>
  <c r="F65" i="10"/>
  <c r="G65" i="10"/>
  <c r="L65" i="10"/>
  <c r="F66" i="10"/>
  <c r="G66" i="10"/>
  <c r="L66" i="10"/>
  <c r="F67" i="10"/>
  <c r="G67" i="10"/>
  <c r="L67" i="10"/>
  <c r="F68" i="10"/>
  <c r="G68" i="10"/>
  <c r="L68" i="10"/>
  <c r="F69" i="10"/>
  <c r="G69" i="10"/>
  <c r="L69" i="10"/>
  <c r="F70" i="10"/>
  <c r="G70" i="10"/>
  <c r="L70" i="10"/>
  <c r="F71" i="10"/>
  <c r="G71" i="10"/>
  <c r="L71" i="10"/>
  <c r="F72" i="10"/>
  <c r="G72" i="10"/>
  <c r="L72" i="10"/>
  <c r="F73" i="10"/>
  <c r="G73" i="10"/>
  <c r="L73" i="10"/>
  <c r="F74" i="10"/>
  <c r="G74" i="10"/>
  <c r="L74" i="10"/>
  <c r="F75" i="10"/>
  <c r="G75" i="10"/>
  <c r="L75" i="10"/>
  <c r="F76" i="10"/>
  <c r="G76" i="10"/>
  <c r="L76" i="10"/>
  <c r="F77" i="10"/>
  <c r="G77" i="10"/>
  <c r="L77" i="10"/>
  <c r="F78" i="10"/>
  <c r="G78" i="10"/>
  <c r="L78" i="10"/>
  <c r="F79" i="10"/>
  <c r="G79" i="10"/>
  <c r="L79" i="10"/>
  <c r="F80" i="10"/>
  <c r="G80" i="10"/>
  <c r="L80" i="10"/>
  <c r="F81" i="10"/>
  <c r="G81" i="10"/>
  <c r="L81" i="10"/>
  <c r="F82" i="10"/>
  <c r="G82" i="10"/>
  <c r="L82" i="10"/>
  <c r="F83" i="10"/>
  <c r="G83" i="10"/>
  <c r="L83" i="10"/>
  <c r="F84" i="10"/>
  <c r="G84" i="10"/>
  <c r="L84" i="10"/>
  <c r="F85" i="10"/>
  <c r="G85" i="10"/>
  <c r="L85" i="10"/>
  <c r="F86" i="10"/>
  <c r="G86" i="10"/>
  <c r="L86" i="10"/>
  <c r="F87" i="10"/>
  <c r="G87" i="10"/>
  <c r="L87" i="10"/>
  <c r="F88" i="10"/>
  <c r="G88" i="10"/>
  <c r="L88" i="10"/>
  <c r="F89" i="10"/>
  <c r="G89" i="10"/>
  <c r="L89" i="10"/>
  <c r="F90" i="10"/>
  <c r="G90" i="10"/>
  <c r="L90" i="10"/>
  <c r="F91" i="10"/>
  <c r="G91" i="10"/>
  <c r="L91" i="10"/>
  <c r="F92" i="10"/>
  <c r="G92" i="10"/>
  <c r="L92" i="10"/>
  <c r="F93" i="10"/>
  <c r="G93" i="10"/>
  <c r="L93" i="10"/>
  <c r="F94" i="10"/>
  <c r="G94" i="10"/>
  <c r="L94" i="10"/>
  <c r="F95" i="10"/>
  <c r="G95" i="10"/>
  <c r="L95" i="10"/>
  <c r="F96" i="10"/>
  <c r="G96" i="10"/>
  <c r="L96" i="10"/>
  <c r="F97" i="10"/>
  <c r="G97" i="10"/>
  <c r="L97" i="10"/>
  <c r="F98" i="10"/>
  <c r="G98" i="10"/>
  <c r="L98" i="10"/>
  <c r="F99" i="10"/>
  <c r="G99" i="10"/>
  <c r="L99" i="10"/>
  <c r="F100" i="10"/>
  <c r="G100" i="10"/>
  <c r="L100" i="10"/>
  <c r="F101" i="10"/>
  <c r="G101" i="10"/>
  <c r="L101" i="10"/>
  <c r="F102" i="10"/>
  <c r="G102" i="10"/>
  <c r="L102" i="10"/>
  <c r="F103" i="10"/>
  <c r="G103" i="10"/>
  <c r="L103" i="10"/>
  <c r="F104" i="10"/>
  <c r="G104" i="10"/>
  <c r="L104" i="10"/>
  <c r="F105" i="10"/>
  <c r="G105" i="10"/>
  <c r="L105" i="10"/>
  <c r="F106" i="10"/>
  <c r="G106" i="10"/>
  <c r="L106" i="10"/>
  <c r="F107" i="10"/>
  <c r="G107" i="10"/>
  <c r="L107" i="10"/>
  <c r="F108" i="10"/>
  <c r="G108" i="10"/>
  <c r="L108" i="10"/>
  <c r="F109" i="10"/>
  <c r="G109" i="10"/>
  <c r="L109" i="10"/>
  <c r="F110" i="10"/>
  <c r="G110" i="10"/>
  <c r="L110" i="10"/>
  <c r="F111" i="10"/>
  <c r="G111" i="10"/>
  <c r="L111" i="10"/>
  <c r="F112" i="10"/>
  <c r="G112" i="10"/>
  <c r="L112" i="10"/>
  <c r="F113" i="10"/>
  <c r="G113" i="10"/>
  <c r="L113" i="10"/>
  <c r="F114" i="10"/>
  <c r="G114" i="10"/>
  <c r="L114" i="10"/>
  <c r="F115" i="10"/>
  <c r="G115" i="10"/>
  <c r="L115" i="10"/>
  <c r="F116" i="10"/>
  <c r="G116" i="10"/>
  <c r="L116" i="10"/>
  <c r="F117" i="10"/>
  <c r="G117" i="10"/>
  <c r="L117" i="10"/>
  <c r="F118" i="10"/>
  <c r="G118" i="10"/>
  <c r="L118" i="10"/>
  <c r="F119" i="10"/>
  <c r="G119" i="10"/>
  <c r="L119" i="10"/>
  <c r="F120" i="10"/>
  <c r="G120" i="10"/>
  <c r="L120" i="10"/>
  <c r="F121" i="10"/>
  <c r="G121" i="10"/>
  <c r="L121" i="10"/>
  <c r="F122" i="10"/>
  <c r="G122" i="10"/>
  <c r="L122" i="10"/>
  <c r="L4" i="10"/>
  <c r="L5" i="10"/>
  <c r="L6" i="10"/>
  <c r="L7" i="10"/>
  <c r="L8" i="10"/>
  <c r="L9" i="10"/>
  <c r="L10" i="10"/>
  <c r="L11" i="10"/>
  <c r="L12" i="10"/>
  <c r="L13" i="10"/>
  <c r="L14" i="10"/>
  <c r="L15" i="10"/>
  <c r="L16" i="10"/>
  <c r="L17" i="10"/>
  <c r="L18" i="10"/>
  <c r="L19" i="10"/>
  <c r="L3" i="10"/>
  <c r="C3" i="10"/>
  <c r="G19" i="10"/>
  <c r="F19" i="10"/>
  <c r="G18" i="10"/>
  <c r="F18" i="10"/>
  <c r="G17" i="10"/>
  <c r="F17" i="10"/>
  <c r="G16" i="10"/>
  <c r="F16" i="10"/>
  <c r="G15" i="10"/>
  <c r="F15" i="10"/>
  <c r="G14" i="10"/>
  <c r="F14" i="10"/>
  <c r="G13" i="10"/>
  <c r="F13" i="10"/>
  <c r="G12" i="10"/>
  <c r="F12" i="10"/>
  <c r="G11" i="10"/>
  <c r="F11" i="10"/>
  <c r="G10" i="10"/>
  <c r="F10" i="10"/>
  <c r="G9" i="10"/>
  <c r="F9" i="10"/>
  <c r="G8" i="10"/>
  <c r="F8" i="10"/>
  <c r="G7" i="10"/>
  <c r="F7" i="10"/>
  <c r="G6" i="10"/>
  <c r="F6" i="10"/>
  <c r="G5" i="10"/>
  <c r="F5" i="10"/>
  <c r="G4" i="10"/>
  <c r="F4" i="10"/>
  <c r="G3" i="10"/>
  <c r="F3" i="10"/>
  <c r="J4" i="9"/>
  <c r="J5" i="9"/>
  <c r="J6" i="9"/>
  <c r="J7" i="9"/>
  <c r="J8" i="9"/>
  <c r="J9" i="9"/>
  <c r="J10" i="9"/>
  <c r="J11" i="9"/>
  <c r="J12" i="9"/>
  <c r="J13" i="9"/>
  <c r="J14" i="9"/>
  <c r="J15" i="9"/>
  <c r="J16" i="9"/>
  <c r="J17" i="9"/>
  <c r="J18" i="9"/>
  <c r="J19" i="9"/>
  <c r="J3" i="9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3" i="9"/>
  <c r="G4" i="9"/>
  <c r="G5" i="9"/>
  <c r="G6" i="9"/>
  <c r="G7" i="9"/>
  <c r="G8" i="9"/>
  <c r="G9" i="9"/>
  <c r="G10" i="9"/>
  <c r="G11" i="9"/>
  <c r="G12" i="9"/>
  <c r="G13" i="9"/>
  <c r="G14" i="9"/>
  <c r="G15" i="9"/>
  <c r="G16" i="9"/>
  <c r="H16" i="9" s="1"/>
  <c r="G17" i="9"/>
  <c r="G18" i="9"/>
  <c r="G19" i="9"/>
  <c r="G3" i="9"/>
  <c r="H17" i="9"/>
  <c r="H12" i="9"/>
  <c r="H9" i="9"/>
  <c r="H4" i="9"/>
  <c r="F4" i="9"/>
  <c r="F5" i="9"/>
  <c r="H5" i="9" s="1"/>
  <c r="F6" i="9"/>
  <c r="H6" i="9" s="1"/>
  <c r="F7" i="9"/>
  <c r="F8" i="9"/>
  <c r="H8" i="9" s="1"/>
  <c r="F9" i="9"/>
  <c r="F10" i="9"/>
  <c r="F11" i="9"/>
  <c r="F12" i="9"/>
  <c r="F13" i="9"/>
  <c r="H13" i="9" s="1"/>
  <c r="F14" i="9"/>
  <c r="H14" i="9" s="1"/>
  <c r="F15" i="9"/>
  <c r="F16" i="9"/>
  <c r="F17" i="9"/>
  <c r="F18" i="9"/>
  <c r="F19" i="9"/>
  <c r="F3" i="9"/>
  <c r="H3" i="9" s="1"/>
  <c r="K6" i="9"/>
  <c r="J4" i="8"/>
  <c r="J5" i="8"/>
  <c r="J6" i="8"/>
  <c r="J7" i="8"/>
  <c r="J8" i="8"/>
  <c r="J9" i="8"/>
  <c r="J10" i="8"/>
  <c r="J11" i="8"/>
  <c r="J12" i="8"/>
  <c r="J13" i="8"/>
  <c r="J14" i="8"/>
  <c r="J15" i="8"/>
  <c r="J16" i="8"/>
  <c r="J17" i="8"/>
  <c r="J18" i="8"/>
  <c r="J19" i="8"/>
  <c r="J3" i="8"/>
  <c r="I4" i="8"/>
  <c r="I5" i="8"/>
  <c r="I6" i="8"/>
  <c r="I7" i="8"/>
  <c r="I8" i="8"/>
  <c r="I9" i="8"/>
  <c r="I10" i="8"/>
  <c r="I11" i="8"/>
  <c r="I12" i="8"/>
  <c r="I13" i="8"/>
  <c r="I14" i="8"/>
  <c r="I15" i="8"/>
  <c r="I16" i="8"/>
  <c r="I17" i="8"/>
  <c r="I18" i="8"/>
  <c r="I19" i="8"/>
  <c r="I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3" i="8"/>
  <c r="G4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3" i="8"/>
  <c r="L3" i="8"/>
  <c r="M3" i="8"/>
  <c r="C9" i="9"/>
  <c r="K9" i="9" l="1"/>
  <c r="K5" i="9"/>
  <c r="K8" i="9"/>
  <c r="H19" i="9"/>
  <c r="H11" i="9"/>
  <c r="H18" i="9"/>
  <c r="H10" i="9"/>
  <c r="H15" i="9"/>
  <c r="H7" i="9"/>
  <c r="K4" i="9"/>
  <c r="K16" i="9"/>
  <c r="K3" i="9"/>
  <c r="K18" i="9"/>
  <c r="K7" i="9"/>
  <c r="K10" i="9"/>
  <c r="K12" i="9"/>
  <c r="K13" i="9"/>
  <c r="K15" i="9"/>
  <c r="K17" i="9"/>
  <c r="K14" i="9"/>
  <c r="K11" i="9"/>
  <c r="K19" i="9"/>
  <c r="K3" i="8"/>
  <c r="L4" i="8"/>
  <c r="M4" i="8"/>
  <c r="K4" i="8" l="1"/>
  <c r="K5" i="8"/>
  <c r="L5" i="8"/>
  <c r="K6" i="8"/>
  <c r="L6" i="8"/>
  <c r="L7" i="8"/>
  <c r="M5" i="8"/>
  <c r="M7" i="8"/>
  <c r="M6" i="8"/>
  <c r="K7" i="8" l="1"/>
  <c r="K8" i="8"/>
  <c r="L8" i="8"/>
  <c r="L9" i="8"/>
  <c r="M9" i="8"/>
  <c r="M8" i="8"/>
  <c r="K9" i="8" l="1"/>
  <c r="K10" i="8"/>
  <c r="L10" i="8"/>
  <c r="L11" i="8"/>
  <c r="M10" i="8"/>
  <c r="M11" i="8"/>
  <c r="K11" i="8" l="1"/>
  <c r="K12" i="8"/>
  <c r="L12" i="8"/>
  <c r="K13" i="8"/>
  <c r="L13" i="8"/>
  <c r="L14" i="8"/>
  <c r="M14" i="8"/>
  <c r="M12" i="8"/>
  <c r="M13" i="8"/>
  <c r="K14" i="8" l="1"/>
  <c r="K15" i="8"/>
  <c r="L15" i="8"/>
  <c r="L16" i="8"/>
  <c r="M15" i="8"/>
  <c r="M16" i="8"/>
  <c r="K16" i="8" l="1"/>
  <c r="K17" i="8"/>
  <c r="L17" i="8"/>
  <c r="K18" i="8"/>
  <c r="L18" i="8"/>
  <c r="K19" i="8"/>
  <c r="L19" i="8"/>
  <c r="H19" i="8"/>
  <c r="H18" i="8"/>
  <c r="H17" i="8"/>
  <c r="H16" i="8"/>
  <c r="H15" i="8"/>
  <c r="H14" i="8"/>
  <c r="H13" i="8"/>
  <c r="H12" i="8"/>
  <c r="H11" i="8"/>
  <c r="H10" i="8"/>
  <c r="H9" i="8"/>
  <c r="H8" i="8"/>
  <c r="H7" i="8"/>
  <c r="H6" i="8"/>
  <c r="H5" i="8"/>
  <c r="H4" i="8"/>
  <c r="H3" i="8"/>
  <c r="L4" i="7"/>
  <c r="L5" i="7"/>
  <c r="L6" i="7"/>
  <c r="L7" i="7"/>
  <c r="L8" i="7"/>
  <c r="L9" i="7"/>
  <c r="L10" i="7"/>
  <c r="L11" i="7"/>
  <c r="L12" i="7"/>
  <c r="L13" i="7"/>
  <c r="L14" i="7"/>
  <c r="L15" i="7"/>
  <c r="L16" i="7"/>
  <c r="L17" i="7"/>
  <c r="L18" i="7"/>
  <c r="L19" i="7"/>
  <c r="G3" i="7"/>
  <c r="L3" i="7"/>
  <c r="K11" i="7"/>
  <c r="K4" i="7"/>
  <c r="K5" i="7"/>
  <c r="K6" i="7"/>
  <c r="K7" i="7"/>
  <c r="K8" i="7"/>
  <c r="K9" i="7"/>
  <c r="K10" i="7"/>
  <c r="K12" i="7"/>
  <c r="K13" i="7"/>
  <c r="K14" i="7"/>
  <c r="K15" i="7"/>
  <c r="K16" i="7"/>
  <c r="K17" i="7"/>
  <c r="K18" i="7"/>
  <c r="K19" i="7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3" i="7"/>
  <c r="I4" i="7"/>
  <c r="I5" i="7"/>
  <c r="I6" i="7"/>
  <c r="I7" i="7"/>
  <c r="I8" i="7"/>
  <c r="I9" i="7"/>
  <c r="I10" i="7"/>
  <c r="I11" i="7"/>
  <c r="I12" i="7"/>
  <c r="I13" i="7"/>
  <c r="I14" i="7"/>
  <c r="I15" i="7"/>
  <c r="I16" i="7"/>
  <c r="I17" i="7"/>
  <c r="I18" i="7"/>
  <c r="I19" i="7"/>
  <c r="I3" i="7"/>
  <c r="K3" i="7" s="1"/>
  <c r="G4" i="7"/>
  <c r="G5" i="7"/>
  <c r="H5" i="7" s="1"/>
  <c r="G6" i="7"/>
  <c r="G7" i="7"/>
  <c r="G8" i="7"/>
  <c r="G9" i="7"/>
  <c r="H9" i="7" s="1"/>
  <c r="G10" i="7"/>
  <c r="G11" i="7"/>
  <c r="G12" i="7"/>
  <c r="G13" i="7"/>
  <c r="H13" i="7" s="1"/>
  <c r="G14" i="7"/>
  <c r="G15" i="7"/>
  <c r="G16" i="7"/>
  <c r="G17" i="7"/>
  <c r="H17" i="7" s="1"/>
  <c r="G18" i="7"/>
  <c r="G19" i="7"/>
  <c r="F4" i="7"/>
  <c r="H4" i="7" s="1"/>
  <c r="F5" i="7"/>
  <c r="F6" i="7"/>
  <c r="H6" i="7" s="1"/>
  <c r="F7" i="7"/>
  <c r="H7" i="7" s="1"/>
  <c r="F8" i="7"/>
  <c r="H8" i="7" s="1"/>
  <c r="F9" i="7"/>
  <c r="F10" i="7"/>
  <c r="H10" i="7" s="1"/>
  <c r="F11" i="7"/>
  <c r="H11" i="7" s="1"/>
  <c r="F12" i="7"/>
  <c r="H12" i="7" s="1"/>
  <c r="F13" i="7"/>
  <c r="F14" i="7"/>
  <c r="H14" i="7" s="1"/>
  <c r="F15" i="7"/>
  <c r="H15" i="7" s="1"/>
  <c r="F16" i="7"/>
  <c r="H16" i="7" s="1"/>
  <c r="F17" i="7"/>
  <c r="F18" i="7"/>
  <c r="H18" i="7" s="1"/>
  <c r="F19" i="7"/>
  <c r="H19" i="7" s="1"/>
  <c r="F3" i="7"/>
  <c r="H4" i="6"/>
  <c r="H6" i="2"/>
  <c r="L8" i="3"/>
  <c r="K9" i="4"/>
  <c r="H15" i="5"/>
  <c r="H7" i="5"/>
  <c r="G18" i="5"/>
  <c r="K15" i="6"/>
  <c r="F4" i="2"/>
  <c r="G19" i="3"/>
  <c r="H3" i="4"/>
  <c r="L18" i="5"/>
  <c r="J9" i="6"/>
  <c r="J14" i="3"/>
  <c r="H19" i="6"/>
  <c r="J18" i="6"/>
  <c r="H19" i="2"/>
  <c r="H11" i="6"/>
  <c r="I7" i="5"/>
  <c r="F7" i="3"/>
  <c r="K7" i="2"/>
  <c r="G10" i="3"/>
  <c r="I19" i="4"/>
  <c r="G9" i="5"/>
  <c r="L4" i="6"/>
  <c r="K15" i="5"/>
  <c r="I3" i="6"/>
  <c r="F15" i="3"/>
  <c r="K18" i="2"/>
  <c r="F6" i="5"/>
  <c r="I5" i="6"/>
  <c r="F5" i="2"/>
  <c r="K15" i="2"/>
  <c r="I7" i="3"/>
  <c r="F3" i="5"/>
  <c r="I9" i="6"/>
  <c r="J9" i="5"/>
  <c r="G8" i="5"/>
  <c r="J16" i="2"/>
  <c r="J19" i="3"/>
  <c r="J14" i="4"/>
  <c r="K3" i="6"/>
  <c r="J5" i="6"/>
  <c r="F7" i="2"/>
  <c r="G17" i="2"/>
  <c r="L15" i="5"/>
  <c r="G4" i="6"/>
  <c r="F14" i="2"/>
  <c r="I15" i="3"/>
  <c r="H8" i="4"/>
  <c r="I9" i="5"/>
  <c r="L7" i="6"/>
  <c r="H4" i="2"/>
  <c r="L12" i="6"/>
  <c r="I15" i="6"/>
  <c r="K17" i="6"/>
  <c r="L10" i="2"/>
  <c r="G6" i="3"/>
  <c r="G18" i="3"/>
  <c r="L15" i="4"/>
  <c r="I13" i="3"/>
  <c r="J3" i="4"/>
  <c r="J3" i="6"/>
  <c r="H7" i="2"/>
  <c r="L3" i="3"/>
  <c r="F16" i="3"/>
  <c r="H10" i="4"/>
  <c r="H11" i="5"/>
  <c r="F19" i="6"/>
  <c r="J6" i="5"/>
  <c r="H14" i="6"/>
  <c r="I5" i="2"/>
  <c r="J19" i="4"/>
  <c r="I10" i="5"/>
  <c r="G19" i="6"/>
  <c r="L8" i="2"/>
  <c r="J5" i="2"/>
  <c r="H8" i="3"/>
  <c r="J7" i="5"/>
  <c r="L19" i="6"/>
  <c r="H14" i="5"/>
  <c r="K12" i="5"/>
  <c r="J8" i="3"/>
  <c r="L14" i="3"/>
  <c r="I5" i="4"/>
  <c r="F16" i="6"/>
  <c r="G17" i="6"/>
  <c r="K13" i="2"/>
  <c r="K4" i="3"/>
  <c r="F6" i="4"/>
  <c r="I19" i="5"/>
  <c r="J5" i="4"/>
  <c r="J15" i="4"/>
  <c r="G12" i="4"/>
  <c r="F5" i="4"/>
  <c r="G6" i="4"/>
  <c r="H17" i="5"/>
  <c r="L10" i="5"/>
  <c r="F11" i="2"/>
  <c r="J11" i="6"/>
  <c r="L6" i="3"/>
  <c r="H8" i="6"/>
  <c r="I3" i="2"/>
  <c r="K12" i="3"/>
  <c r="J15" i="3"/>
  <c r="L8" i="4"/>
  <c r="J16" i="5"/>
  <c r="G7" i="2"/>
  <c r="F12" i="6"/>
  <c r="H10" i="6"/>
  <c r="F5" i="6"/>
  <c r="K19" i="2"/>
  <c r="J10" i="3"/>
  <c r="G4" i="3"/>
  <c r="F18" i="4"/>
  <c r="H4" i="5"/>
  <c r="L10" i="6"/>
  <c r="G15" i="6"/>
  <c r="I18" i="6"/>
  <c r="H3" i="2"/>
  <c r="L9" i="3"/>
  <c r="G14" i="6"/>
  <c r="F10" i="2"/>
  <c r="L4" i="3"/>
  <c r="F10" i="3"/>
  <c r="I13" i="5"/>
  <c r="K13" i="5"/>
  <c r="H5" i="6"/>
  <c r="F12" i="2"/>
  <c r="G3" i="3"/>
  <c r="H19" i="3"/>
  <c r="J18" i="4"/>
  <c r="G6" i="2"/>
  <c r="F15" i="5"/>
  <c r="I14" i="6"/>
  <c r="H17" i="3"/>
  <c r="L13" i="2"/>
  <c r="F3" i="4"/>
  <c r="I16" i="5"/>
  <c r="K10" i="6"/>
  <c r="L12" i="5"/>
  <c r="J12" i="5"/>
  <c r="F3" i="2"/>
  <c r="I14" i="2"/>
  <c r="K16" i="4"/>
  <c r="H15" i="6"/>
  <c r="J6" i="6"/>
  <c r="G8" i="2"/>
  <c r="I12" i="3"/>
  <c r="I11" i="4"/>
  <c r="H10" i="5"/>
  <c r="I12" i="4"/>
  <c r="I6" i="4"/>
  <c r="I10" i="2"/>
  <c r="M17" i="8"/>
  <c r="L4" i="4"/>
  <c r="L14" i="5"/>
  <c r="L3" i="6"/>
  <c r="H8" i="2"/>
  <c r="J13" i="2"/>
  <c r="H7" i="3"/>
  <c r="G4" i="4"/>
  <c r="G5" i="4"/>
  <c r="I10" i="4"/>
  <c r="H18" i="2"/>
  <c r="M14" i="7"/>
  <c r="G17" i="3"/>
  <c r="K8" i="4"/>
  <c r="L13" i="5"/>
  <c r="K6" i="6"/>
  <c r="H3" i="6"/>
  <c r="G4" i="5"/>
  <c r="F18" i="5"/>
  <c r="G3" i="2"/>
  <c r="I4" i="2"/>
  <c r="L12" i="3"/>
  <c r="J10" i="4"/>
  <c r="I18" i="5"/>
  <c r="F9" i="6"/>
  <c r="I11" i="5"/>
  <c r="K7" i="5"/>
  <c r="K14" i="5"/>
  <c r="H6" i="6"/>
  <c r="H15" i="2"/>
  <c r="G7" i="3"/>
  <c r="J9" i="4"/>
  <c r="J10" i="5"/>
  <c r="G18" i="6"/>
  <c r="H9" i="5"/>
  <c r="L16" i="5"/>
  <c r="J3" i="2"/>
  <c r="J14" i="6"/>
  <c r="J4" i="5"/>
  <c r="L18" i="6"/>
  <c r="I16" i="2"/>
  <c r="I8" i="3"/>
  <c r="K18" i="4"/>
  <c r="K19" i="5"/>
  <c r="I10" i="6"/>
  <c r="F7" i="5"/>
  <c r="I12" i="5"/>
  <c r="I15" i="4"/>
  <c r="F13" i="6"/>
  <c r="G16" i="2"/>
  <c r="G14" i="4"/>
  <c r="L3" i="4"/>
  <c r="G4" i="2"/>
  <c r="H6" i="4"/>
  <c r="H14" i="2"/>
  <c r="F13" i="2"/>
  <c r="G9" i="6"/>
  <c r="L3" i="5"/>
  <c r="F14" i="6"/>
  <c r="J15" i="6"/>
  <c r="I15" i="2"/>
  <c r="I19" i="2"/>
  <c r="F9" i="5"/>
  <c r="I6" i="2"/>
  <c r="J7" i="4"/>
  <c r="G6" i="6"/>
  <c r="H18" i="6"/>
  <c r="I8" i="2"/>
  <c r="H18" i="3"/>
  <c r="I17" i="4"/>
  <c r="J13" i="5"/>
  <c r="H12" i="4"/>
  <c r="J3" i="5"/>
  <c r="K17" i="3"/>
  <c r="H10" i="2"/>
  <c r="J11" i="4"/>
  <c r="K5" i="5"/>
  <c r="G8" i="6"/>
  <c r="I13" i="2"/>
  <c r="L11" i="2"/>
  <c r="H15" i="3"/>
  <c r="L17" i="5"/>
  <c r="F13" i="4"/>
  <c r="G15" i="4"/>
  <c r="H13" i="4"/>
  <c r="M10" i="7"/>
  <c r="G12" i="3"/>
  <c r="K3" i="5"/>
  <c r="J19" i="5"/>
  <c r="H9" i="6"/>
  <c r="G10" i="2"/>
  <c r="J13" i="3"/>
  <c r="I9" i="4"/>
  <c r="K15" i="3"/>
  <c r="F12" i="3"/>
  <c r="L5" i="5"/>
  <c r="M15" i="7"/>
  <c r="I16" i="3"/>
  <c r="K17" i="4"/>
  <c r="F19" i="4"/>
  <c r="G13" i="5"/>
  <c r="K4" i="5"/>
  <c r="F11" i="3"/>
  <c r="K8" i="5"/>
  <c r="I4" i="6"/>
  <c r="I7" i="6"/>
  <c r="K9" i="2"/>
  <c r="K16" i="3"/>
  <c r="H19" i="4"/>
  <c r="I6" i="5"/>
  <c r="I3" i="5"/>
  <c r="F14" i="5"/>
  <c r="L11" i="5"/>
  <c r="J13" i="6"/>
  <c r="I19" i="6"/>
  <c r="F9" i="2"/>
  <c r="I6" i="3"/>
  <c r="F10" i="4"/>
  <c r="I5" i="5"/>
  <c r="H5" i="4"/>
  <c r="K17" i="5"/>
  <c r="H14" i="4"/>
  <c r="L19" i="5"/>
  <c r="H6" i="5"/>
  <c r="J12" i="6"/>
  <c r="I6" i="6"/>
  <c r="K5" i="2"/>
  <c r="G11" i="3"/>
  <c r="G19" i="4"/>
  <c r="J14" i="5"/>
  <c r="I14" i="4"/>
  <c r="K10" i="5"/>
  <c r="L19" i="4"/>
  <c r="K5" i="4"/>
  <c r="L5" i="6"/>
  <c r="L9" i="6"/>
  <c r="J5" i="5"/>
  <c r="H11" i="4"/>
  <c r="L6" i="6"/>
  <c r="J17" i="4"/>
  <c r="G7" i="6"/>
  <c r="F6" i="6"/>
  <c r="F16" i="4"/>
  <c r="G19" i="5"/>
  <c r="H7" i="6"/>
  <c r="K5" i="3"/>
  <c r="H4" i="3"/>
  <c r="H6" i="3"/>
  <c r="M19" i="8"/>
  <c r="F12" i="4"/>
  <c r="F17" i="5"/>
  <c r="I16" i="6"/>
  <c r="K6" i="2"/>
  <c r="L9" i="2"/>
  <c r="L18" i="4"/>
  <c r="J17" i="5"/>
  <c r="J16" i="4"/>
  <c r="L14" i="4"/>
  <c r="L5" i="3"/>
  <c r="M5" i="7"/>
  <c r="G13" i="3"/>
  <c r="F12" i="5"/>
  <c r="F16" i="5"/>
  <c r="K7" i="6"/>
  <c r="H16" i="2"/>
  <c r="J17" i="3"/>
  <c r="J12" i="4"/>
  <c r="I5" i="3"/>
  <c r="H3" i="3"/>
  <c r="L11" i="6"/>
  <c r="M19" i="7"/>
  <c r="F6" i="3"/>
  <c r="G17" i="4"/>
  <c r="L9" i="4"/>
  <c r="G3" i="6"/>
  <c r="L16" i="2"/>
  <c r="J10" i="2"/>
  <c r="F19" i="3"/>
  <c r="K3" i="3"/>
  <c r="I10" i="3"/>
  <c r="I4" i="3"/>
  <c r="J16" i="6"/>
  <c r="F15" i="2"/>
  <c r="F4" i="3"/>
  <c r="L13" i="4"/>
  <c r="G16" i="5"/>
  <c r="F7" i="4"/>
  <c r="H9" i="2"/>
  <c r="K14" i="4"/>
  <c r="J8" i="5"/>
  <c r="K14" i="6"/>
  <c r="I7" i="2"/>
  <c r="G15" i="3"/>
  <c r="G16" i="4"/>
  <c r="G12" i="5"/>
  <c r="K13" i="4"/>
  <c r="I13" i="4"/>
  <c r="L7" i="4"/>
  <c r="L9" i="5"/>
  <c r="K13" i="6"/>
  <c r="H11" i="2"/>
  <c r="I9" i="3"/>
  <c r="L12" i="4"/>
  <c r="K11" i="5"/>
  <c r="K11" i="4"/>
  <c r="J13" i="4"/>
  <c r="F13" i="3"/>
  <c r="F8" i="3"/>
  <c r="L6" i="4"/>
  <c r="F10" i="5"/>
  <c r="K19" i="6"/>
  <c r="L11" i="4"/>
  <c r="K10" i="3"/>
  <c r="K10" i="4"/>
  <c r="K9" i="5"/>
  <c r="H9" i="4"/>
  <c r="K6" i="4"/>
  <c r="H12" i="2"/>
  <c r="L4" i="2"/>
  <c r="L17" i="3"/>
  <c r="H16" i="5"/>
  <c r="J7" i="3"/>
  <c r="L11" i="3"/>
  <c r="F18" i="2"/>
  <c r="F4" i="5"/>
  <c r="C9" i="8"/>
  <c r="H11" i="3"/>
  <c r="J15" i="5"/>
  <c r="H19" i="5"/>
  <c r="K16" i="6"/>
  <c r="K8" i="6"/>
  <c r="H13" i="5"/>
  <c r="M16" i="7"/>
  <c r="F3" i="3"/>
  <c r="F13" i="5"/>
  <c r="L6" i="5"/>
  <c r="F7" i="6"/>
  <c r="F17" i="2"/>
  <c r="J4" i="3"/>
  <c r="G13" i="4"/>
  <c r="I11" i="3"/>
  <c r="H12" i="3"/>
  <c r="F3" i="6"/>
  <c r="M6" i="7"/>
  <c r="J11" i="3"/>
  <c r="F8" i="4"/>
  <c r="G3" i="5"/>
  <c r="K12" i="6"/>
  <c r="K14" i="2"/>
  <c r="L7" i="2"/>
  <c r="K8" i="3"/>
  <c r="H16" i="3"/>
  <c r="F17" i="3"/>
  <c r="J4" i="4"/>
  <c r="G5" i="6"/>
  <c r="L5" i="2"/>
  <c r="H10" i="3"/>
  <c r="K4" i="4"/>
  <c r="I14" i="5"/>
  <c r="L8" i="6"/>
  <c r="G13" i="2"/>
  <c r="F11" i="6"/>
  <c r="J8" i="2"/>
  <c r="J18" i="2"/>
  <c r="K18" i="5"/>
  <c r="I11" i="6"/>
  <c r="I18" i="2"/>
  <c r="I19" i="3"/>
  <c r="J16" i="3"/>
  <c r="G18" i="4"/>
  <c r="J14" i="2"/>
  <c r="G12" i="2"/>
  <c r="H15" i="4"/>
  <c r="J11" i="5"/>
  <c r="F11" i="5"/>
  <c r="J8" i="6"/>
  <c r="J12" i="2"/>
  <c r="L18" i="3"/>
  <c r="H16" i="4"/>
  <c r="H13" i="3"/>
  <c r="M18" i="8"/>
  <c r="I7" i="4"/>
  <c r="G7" i="5"/>
  <c r="G11" i="5"/>
  <c r="G11" i="4"/>
  <c r="H5" i="3"/>
  <c r="G9" i="2"/>
  <c r="J7" i="6"/>
  <c r="L10" i="3"/>
  <c r="G14" i="3"/>
  <c r="G12" i="6"/>
  <c r="L3" i="2"/>
  <c r="M7" i="7"/>
  <c r="L7" i="3"/>
  <c r="F17" i="4"/>
  <c r="G14" i="5"/>
  <c r="I8" i="6"/>
  <c r="K5" i="6"/>
  <c r="I18" i="4"/>
  <c r="M4" i="7"/>
  <c r="K13" i="3"/>
  <c r="F9" i="4"/>
  <c r="I15" i="5"/>
  <c r="J17" i="6"/>
  <c r="F5" i="3"/>
  <c r="K8" i="2"/>
  <c r="K9" i="3"/>
  <c r="J9" i="3"/>
  <c r="K6" i="3"/>
  <c r="G11" i="6"/>
  <c r="C9" i="7"/>
  <c r="L15" i="2"/>
  <c r="G3" i="4"/>
  <c r="H18" i="4"/>
  <c r="G17" i="5"/>
  <c r="F15" i="6"/>
  <c r="F16" i="2"/>
  <c r="J10" i="6"/>
  <c r="G14" i="2"/>
  <c r="J19" i="2"/>
  <c r="F4" i="6"/>
  <c r="I12" i="6"/>
  <c r="G15" i="2"/>
  <c r="F9" i="3"/>
  <c r="G5" i="3"/>
  <c r="F11" i="4"/>
  <c r="J19" i="6"/>
  <c r="L19" i="2"/>
  <c r="F8" i="6"/>
  <c r="K11" i="6"/>
  <c r="G11" i="2"/>
  <c r="K4" i="2"/>
  <c r="L8" i="5"/>
  <c r="I9" i="2"/>
  <c r="J15" i="2"/>
  <c r="L13" i="3"/>
  <c r="F15" i="4"/>
  <c r="H17" i="6"/>
  <c r="M18" i="7"/>
  <c r="K7" i="3"/>
  <c r="L17" i="4"/>
  <c r="H8" i="5"/>
  <c r="L15" i="6"/>
  <c r="G19" i="2"/>
  <c r="G16" i="3"/>
  <c r="H17" i="4"/>
  <c r="J5" i="3"/>
  <c r="M17" i="7"/>
  <c r="F18" i="3"/>
  <c r="J6" i="4"/>
  <c r="I17" i="5"/>
  <c r="L14" i="6"/>
  <c r="I11" i="2"/>
  <c r="J18" i="3"/>
  <c r="F4" i="4"/>
  <c r="L15" i="3"/>
  <c r="J6" i="3"/>
  <c r="I8" i="5"/>
  <c r="M11" i="7"/>
  <c r="G9" i="3"/>
  <c r="K15" i="4"/>
  <c r="F5" i="5"/>
  <c r="J4" i="6"/>
  <c r="I3" i="4"/>
  <c r="K11" i="3"/>
  <c r="H14" i="3"/>
  <c r="G8" i="3"/>
  <c r="L16" i="3"/>
  <c r="I4" i="4"/>
  <c r="H13" i="6"/>
  <c r="I8" i="4"/>
  <c r="F17" i="6"/>
  <c r="H12" i="6"/>
  <c r="F6" i="2"/>
  <c r="L16" i="6"/>
  <c r="K4" i="6"/>
  <c r="K19" i="4"/>
  <c r="M9" i="7"/>
  <c r="J9" i="2"/>
  <c r="I16" i="4"/>
  <c r="G10" i="4"/>
  <c r="I4" i="5"/>
  <c r="L7" i="5"/>
  <c r="K11" i="2"/>
  <c r="M3" i="7"/>
  <c r="J17" i="2"/>
  <c r="J8" i="4"/>
  <c r="G9" i="4"/>
  <c r="F8" i="5"/>
  <c r="L17" i="6"/>
  <c r="L18" i="2"/>
  <c r="G13" i="6"/>
  <c r="L14" i="2"/>
  <c r="J11" i="2"/>
  <c r="K3" i="4"/>
  <c r="I17" i="6"/>
  <c r="H5" i="2"/>
  <c r="J12" i="3"/>
  <c r="H9" i="3"/>
  <c r="H3" i="5"/>
  <c r="K18" i="6"/>
  <c r="L19" i="3"/>
  <c r="L13" i="6"/>
  <c r="I13" i="6"/>
  <c r="G18" i="2"/>
  <c r="H4" i="4"/>
  <c r="H5" i="5"/>
  <c r="F19" i="2"/>
  <c r="J7" i="2"/>
  <c r="K18" i="3"/>
  <c r="L5" i="4"/>
  <c r="H18" i="5"/>
  <c r="F10" i="6"/>
  <c r="G10" i="5"/>
  <c r="G5" i="5"/>
  <c r="K14" i="3"/>
  <c r="L4" i="5"/>
  <c r="G15" i="5"/>
  <c r="F18" i="6"/>
  <c r="I12" i="2"/>
  <c r="K10" i="2"/>
  <c r="L6" i="2"/>
  <c r="G8" i="4"/>
  <c r="M12" i="7"/>
  <c r="K19" i="3"/>
  <c r="K12" i="4"/>
  <c r="K7" i="4"/>
  <c r="K16" i="5"/>
  <c r="F8" i="2"/>
  <c r="J4" i="2"/>
  <c r="F14" i="3"/>
  <c r="L12" i="2"/>
  <c r="M8" i="7"/>
  <c r="J3" i="3"/>
  <c r="G7" i="4"/>
  <c r="L16" i="4"/>
  <c r="H12" i="5"/>
  <c r="K9" i="6"/>
  <c r="K3" i="2"/>
  <c r="K16" i="2"/>
  <c r="K12" i="2"/>
  <c r="I17" i="3"/>
  <c r="I17" i="2"/>
  <c r="M13" i="7"/>
  <c r="K17" i="2"/>
  <c r="H7" i="4"/>
  <c r="F14" i="4"/>
  <c r="K6" i="5"/>
  <c r="G16" i="6"/>
  <c r="H13" i="2"/>
  <c r="H17" i="2"/>
  <c r="L17" i="2"/>
  <c r="I3" i="3"/>
  <c r="G10" i="6"/>
  <c r="G5" i="2"/>
  <c r="I14" i="3"/>
  <c r="J18" i="5"/>
  <c r="J6" i="2"/>
  <c r="H16" i="6"/>
  <c r="F19" i="5"/>
  <c r="G6" i="5"/>
  <c r="L10" i="4"/>
  <c r="I18" i="3"/>
  <c r="H3" i="7" l="1"/>
</calcChain>
</file>

<file path=xl/sharedStrings.xml><?xml version="1.0" encoding="utf-8"?>
<sst xmlns="http://schemas.openxmlformats.org/spreadsheetml/2006/main" count="135" uniqueCount="34">
  <si>
    <t>K</t>
  </si>
  <si>
    <t>r</t>
  </si>
  <si>
    <t>q</t>
  </si>
  <si>
    <t>vol</t>
  </si>
  <si>
    <t>epsilon</t>
  </si>
  <si>
    <t>S(0)/T</t>
  </si>
  <si>
    <t>long stock</t>
  </si>
  <si>
    <t>long put</t>
  </si>
  <si>
    <t>strike</t>
  </si>
  <si>
    <t>protective put</t>
  </si>
  <si>
    <t>Spot</t>
  </si>
  <si>
    <t>ttm</t>
  </si>
  <si>
    <t>call price</t>
  </si>
  <si>
    <t>long call</t>
  </si>
  <si>
    <t>cash</t>
  </si>
  <si>
    <t>covered call</t>
  </si>
  <si>
    <t>long call + cash</t>
  </si>
  <si>
    <t>Option Value</t>
  </si>
  <si>
    <t>Payoff Diagram</t>
  </si>
  <si>
    <t>short call</t>
  </si>
  <si>
    <t>short put</t>
  </si>
  <si>
    <t>short put + cash</t>
  </si>
  <si>
    <t>bull call spread</t>
  </si>
  <si>
    <t>bear put spread</t>
  </si>
  <si>
    <t>bull call spread 85, 87</t>
  </si>
  <si>
    <t>bull call spread 84, 88</t>
  </si>
  <si>
    <t>digital call @ 86</t>
  </si>
  <si>
    <t>short 2 calls</t>
  </si>
  <si>
    <t>butterfly spread</t>
  </si>
  <si>
    <t>short 2 puts</t>
  </si>
  <si>
    <t>condor spread</t>
  </si>
  <si>
    <t>short 2 call</t>
  </si>
  <si>
    <t>ratio call spread</t>
  </si>
  <si>
    <t>straddle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</si>
</sst>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"/>
    <numFmt numFmtId="165" formatCode="0.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64" fontId="0" fillId="0" borderId="0" xfId="0" applyNumberFormat="1"/>
    <xf numFmtId="165" fontId="0" fillId="0" borderId="0" xfId="0" applyNumberFormat="1"/>
    <xf numFmtId="1" fontId="0" fillId="0" borderId="0" xfId="0" applyNumberForma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Protective Put With Strike at 80</a:t>
            </a:r>
          </a:p>
        </c:rich>
      </c:tx>
      <c:layout>
        <c:manualLayout>
          <c:xMode val="edge"/>
          <c:yMode val="edge"/>
          <c:x val="0.30039284388121373"/>
          <c:y val="2.80000000000000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'protective puts'!$F$2</c:f>
              <c:strCache>
                <c:ptCount val="1"/>
                <c:pt idx="0">
                  <c:v>long stock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'protective puts'!$E$3:$E$19</c:f>
              <c:numCache>
                <c:formatCode>General</c:formatCode>
                <c:ptCount val="17"/>
                <c:pt idx="0">
                  <c:v>1.0000000000000001E-5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</c:numCache>
            </c:numRef>
          </c:xVal>
          <c:yVal>
            <c:numRef>
              <c:f>'protective puts'!$F$3:$F$19</c:f>
              <c:numCache>
                <c:formatCode>0</c:formatCode>
                <c:ptCount val="17"/>
                <c:pt idx="0">
                  <c:v>1.0000000000000001E-5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16D-4AB7-8563-287039EE159A}"/>
            </c:ext>
          </c:extLst>
        </c:ser>
        <c:ser>
          <c:idx val="1"/>
          <c:order val="1"/>
          <c:tx>
            <c:strRef>
              <c:f>'protective puts'!$G$2</c:f>
              <c:strCache>
                <c:ptCount val="1"/>
                <c:pt idx="0">
                  <c:v>long put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'protective puts'!$E$3:$E$19</c:f>
              <c:numCache>
                <c:formatCode>General</c:formatCode>
                <c:ptCount val="17"/>
                <c:pt idx="0">
                  <c:v>1.0000000000000001E-5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</c:numCache>
            </c:numRef>
          </c:xVal>
          <c:yVal>
            <c:numRef>
              <c:f>'protective puts'!$G$3:$G$19</c:f>
              <c:numCache>
                <c:formatCode>0.0</c:formatCode>
                <c:ptCount val="17"/>
                <c:pt idx="0">
                  <c:v>79.999989999999997</c:v>
                </c:pt>
                <c:pt idx="1">
                  <c:v>70</c:v>
                </c:pt>
                <c:pt idx="2">
                  <c:v>60</c:v>
                </c:pt>
                <c:pt idx="3">
                  <c:v>50</c:v>
                </c:pt>
                <c:pt idx="4">
                  <c:v>40</c:v>
                </c:pt>
                <c:pt idx="5">
                  <c:v>30</c:v>
                </c:pt>
                <c:pt idx="6">
                  <c:v>20</c:v>
                </c:pt>
                <c:pt idx="7">
                  <c:v>10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390-41FE-9AD5-463E4EF1E26A}"/>
            </c:ext>
          </c:extLst>
        </c:ser>
        <c:ser>
          <c:idx val="2"/>
          <c:order val="2"/>
          <c:tx>
            <c:strRef>
              <c:f>'protective puts'!$H$2</c:f>
              <c:strCache>
                <c:ptCount val="1"/>
                <c:pt idx="0">
                  <c:v>protective put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'protective puts'!$E$3:$E$19</c:f>
              <c:numCache>
                <c:formatCode>General</c:formatCode>
                <c:ptCount val="17"/>
                <c:pt idx="0">
                  <c:v>1.0000000000000001E-5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</c:numCache>
            </c:numRef>
          </c:xVal>
          <c:yVal>
            <c:numRef>
              <c:f>'protective puts'!$H$3:$H$19</c:f>
              <c:numCache>
                <c:formatCode>0.0</c:formatCode>
                <c:ptCount val="17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390-41FE-9AD5-463E4EF1E2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3492240"/>
        <c:axId val="516072384"/>
      </c:scatterChart>
      <c:valAx>
        <c:axId val="713492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S(T)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072384"/>
        <c:crosses val="autoZero"/>
        <c:crossBetween val="midCat"/>
      </c:valAx>
      <c:valAx>
        <c:axId val="516072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4922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Long</a:t>
            </a:r>
            <a:r>
              <a:rPr lang="en-SG" baseline="0"/>
              <a:t> Call</a:t>
            </a:r>
            <a:r>
              <a:rPr lang="en-SG"/>
              <a:t> With Strike at 80 + cash</a:t>
            </a:r>
          </a:p>
        </c:rich>
      </c:tx>
      <c:layout>
        <c:manualLayout>
          <c:xMode val="edge"/>
          <c:yMode val="edge"/>
          <c:x val="0.30039284388121373"/>
          <c:y val="2.80000000000000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'protective puts'!$I$2</c:f>
              <c:strCache>
                <c:ptCount val="1"/>
                <c:pt idx="0">
                  <c:v>long call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'protective puts'!$E$3:$E$19</c:f>
              <c:numCache>
                <c:formatCode>General</c:formatCode>
                <c:ptCount val="17"/>
                <c:pt idx="0">
                  <c:v>1.0000000000000001E-5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</c:numCache>
            </c:numRef>
          </c:xVal>
          <c:yVal>
            <c:numRef>
              <c:f>'protective puts'!$I$3:$I$19</c:f>
              <c:numCache>
                <c:formatCode>0.0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</c:v>
                </c:pt>
                <c:pt idx="10">
                  <c:v>20</c:v>
                </c:pt>
                <c:pt idx="11">
                  <c:v>30</c:v>
                </c:pt>
                <c:pt idx="12">
                  <c:v>40</c:v>
                </c:pt>
                <c:pt idx="13">
                  <c:v>50</c:v>
                </c:pt>
                <c:pt idx="14">
                  <c:v>60</c:v>
                </c:pt>
                <c:pt idx="15">
                  <c:v>70</c:v>
                </c:pt>
                <c:pt idx="16">
                  <c:v>80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526-4B03-B49A-97197B7F5961}"/>
            </c:ext>
          </c:extLst>
        </c:ser>
        <c:ser>
          <c:idx val="1"/>
          <c:order val="1"/>
          <c:tx>
            <c:strRef>
              <c:f>'protective puts'!$J$2</c:f>
              <c:strCache>
                <c:ptCount val="1"/>
                <c:pt idx="0">
                  <c:v>cash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'protective puts'!$E$3:$E$19</c:f>
              <c:numCache>
                <c:formatCode>General</c:formatCode>
                <c:ptCount val="17"/>
                <c:pt idx="0">
                  <c:v>1.0000000000000001E-5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</c:numCache>
            </c:numRef>
          </c:xVal>
          <c:yVal>
            <c:numRef>
              <c:f>'protective puts'!$J$3:$J$19</c:f>
              <c:numCache>
                <c:formatCode>0.0</c:formatCode>
                <c:ptCount val="17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526-4B03-B49A-97197B7F5961}"/>
            </c:ext>
          </c:extLst>
        </c:ser>
        <c:ser>
          <c:idx val="2"/>
          <c:order val="2"/>
          <c:tx>
            <c:strRef>
              <c:f>'protective puts'!$K$2</c:f>
              <c:strCache>
                <c:ptCount val="1"/>
                <c:pt idx="0">
                  <c:v>long call + cash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'protective puts'!$E$3:$E$19</c:f>
              <c:numCache>
                <c:formatCode>General</c:formatCode>
                <c:ptCount val="17"/>
                <c:pt idx="0">
                  <c:v>1.0000000000000001E-5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</c:numCache>
            </c:numRef>
          </c:xVal>
          <c:yVal>
            <c:numRef>
              <c:f>'protective puts'!$K$3:$K$19</c:f>
              <c:numCache>
                <c:formatCode>0.0</c:formatCode>
                <c:ptCount val="17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526-4B03-B49A-97197B7F59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3492240"/>
        <c:axId val="516072384"/>
      </c:scatterChart>
      <c:valAx>
        <c:axId val="713492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S(T)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072384"/>
        <c:crosses val="autoZero"/>
        <c:crossBetween val="midCat"/>
      </c:valAx>
      <c:valAx>
        <c:axId val="516072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4922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Put Option:</a:t>
            </a:r>
            <a:r>
              <a:rPr lang="en-SG" baseline="0"/>
              <a:t> </a:t>
            </a:r>
            <a:r>
              <a:rPr lang="en-SG"/>
              <a:t>Payoff Diagram vs Option</a:t>
            </a:r>
            <a:r>
              <a:rPr lang="en-SG" baseline="0"/>
              <a:t> Value</a:t>
            </a:r>
            <a:endParaRPr lang="en-SG"/>
          </a:p>
        </c:rich>
      </c:tx>
      <c:layout>
        <c:manualLayout>
          <c:xMode val="edge"/>
          <c:yMode val="edge"/>
          <c:x val="0.20415058207649975"/>
          <c:y val="3.588967059590923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'protective puts'!$M$2</c:f>
              <c:strCache>
                <c:ptCount val="1"/>
                <c:pt idx="0">
                  <c:v>Option Value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'protective puts'!$E$3:$E$19</c:f>
              <c:numCache>
                <c:formatCode>General</c:formatCode>
                <c:ptCount val="17"/>
                <c:pt idx="0">
                  <c:v>1.0000000000000001E-5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</c:numCache>
            </c:numRef>
          </c:xVal>
          <c:yVal>
            <c:numRef>
              <c:f>'protective puts'!$M$3:$M$19</c:f>
              <c:numCache>
                <c:formatCode>0.0</c:formatCode>
                <c:ptCount val="17"/>
                <c:pt idx="0">
                  <c:v>79.999989999999997</c:v>
                </c:pt>
                <c:pt idx="1">
                  <c:v>70.000000000000099</c:v>
                </c:pt>
                <c:pt idx="2">
                  <c:v>60.000001012645768</c:v>
                </c:pt>
                <c:pt idx="3">
                  <c:v>50.000912649739256</c:v>
                </c:pt>
                <c:pt idx="4">
                  <c:v>40.037018009584621</c:v>
                </c:pt>
                <c:pt idx="5">
                  <c:v>30.356257664221786</c:v>
                </c:pt>
                <c:pt idx="6">
                  <c:v>21.570089090741675</c:v>
                </c:pt>
                <c:pt idx="7">
                  <c:v>14.349786595110558</c:v>
                </c:pt>
                <c:pt idx="8">
                  <c:v>8.997033281462798</c:v>
                </c:pt>
                <c:pt idx="9">
                  <c:v>5.3698188298031511</c:v>
                </c:pt>
                <c:pt idx="10">
                  <c:v>3.0826523017186069</c:v>
                </c:pt>
                <c:pt idx="11">
                  <c:v>1.7179866762931848</c:v>
                </c:pt>
                <c:pt idx="12">
                  <c:v>0.93672053102487229</c:v>
                </c:pt>
                <c:pt idx="13">
                  <c:v>0.50281981162715095</c:v>
                </c:pt>
                <c:pt idx="14">
                  <c:v>0.26704399350040431</c:v>
                </c:pt>
                <c:pt idx="15">
                  <c:v>0.14086952838732025</c:v>
                </c:pt>
                <c:pt idx="16">
                  <c:v>7.4036019169238965E-2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F01-4FB1-AA61-7784628F9C60}"/>
            </c:ext>
          </c:extLst>
        </c:ser>
        <c:ser>
          <c:idx val="1"/>
          <c:order val="1"/>
          <c:tx>
            <c:strRef>
              <c:f>'protective puts'!$L$2</c:f>
              <c:strCache>
                <c:ptCount val="1"/>
                <c:pt idx="0">
                  <c:v>Payoff Diagram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'protective puts'!$E$3:$E$19</c:f>
              <c:numCache>
                <c:formatCode>General</c:formatCode>
                <c:ptCount val="17"/>
                <c:pt idx="0">
                  <c:v>1.0000000000000001E-5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</c:numCache>
            </c:numRef>
          </c:xVal>
          <c:yVal>
            <c:numRef>
              <c:f>'protective puts'!$L$3:$L$19</c:f>
              <c:numCache>
                <c:formatCode>0.0</c:formatCode>
                <c:ptCount val="17"/>
                <c:pt idx="0">
                  <c:v>79.999989999999997</c:v>
                </c:pt>
                <c:pt idx="1">
                  <c:v>70</c:v>
                </c:pt>
                <c:pt idx="2">
                  <c:v>60</c:v>
                </c:pt>
                <c:pt idx="3">
                  <c:v>50</c:v>
                </c:pt>
                <c:pt idx="4">
                  <c:v>40</c:v>
                </c:pt>
                <c:pt idx="5">
                  <c:v>30</c:v>
                </c:pt>
                <c:pt idx="6">
                  <c:v>20</c:v>
                </c:pt>
                <c:pt idx="7">
                  <c:v>10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F01-4FB1-AA61-7784628F9C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3492240"/>
        <c:axId val="516072384"/>
      </c:scatterChart>
      <c:valAx>
        <c:axId val="713492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S(T)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072384"/>
        <c:crosses val="autoZero"/>
        <c:crossBetween val="midCat"/>
      </c:valAx>
      <c:valAx>
        <c:axId val="516072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4922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Short Covered</a:t>
            </a:r>
            <a:r>
              <a:rPr lang="en-SG" baseline="0"/>
              <a:t> Call</a:t>
            </a:r>
            <a:r>
              <a:rPr lang="en-SG"/>
              <a:t> With Strike at 110</a:t>
            </a:r>
          </a:p>
        </c:rich>
      </c:tx>
      <c:layout>
        <c:manualLayout>
          <c:xMode val="edge"/>
          <c:yMode val="edge"/>
          <c:x val="0.30039284388121373"/>
          <c:y val="2.80000000000000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'covered call'!$F$2</c:f>
              <c:strCache>
                <c:ptCount val="1"/>
                <c:pt idx="0">
                  <c:v>long stock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'covered call'!$E$3:$E$19</c:f>
              <c:numCache>
                <c:formatCode>General</c:formatCode>
                <c:ptCount val="17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</c:numCache>
            </c:numRef>
          </c:xVal>
          <c:yVal>
            <c:numRef>
              <c:f>'covered call'!$F$3:$F$19</c:f>
              <c:numCache>
                <c:formatCode>0</c:formatCode>
                <c:ptCount val="17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877-449A-B0CA-1591CBE2BA79}"/>
            </c:ext>
          </c:extLst>
        </c:ser>
        <c:ser>
          <c:idx val="1"/>
          <c:order val="1"/>
          <c:tx>
            <c:strRef>
              <c:f>'covered call'!$G$2</c:f>
              <c:strCache>
                <c:ptCount val="1"/>
                <c:pt idx="0">
                  <c:v>short call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'covered call'!$E$3:$E$19</c:f>
              <c:numCache>
                <c:formatCode>General</c:formatCode>
                <c:ptCount val="17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</c:numCache>
            </c:numRef>
          </c:xVal>
          <c:yVal>
            <c:numRef>
              <c:f>'covered call'!$G$3:$G$19</c:f>
              <c:numCache>
                <c:formatCode>0.0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-10</c:v>
                </c:pt>
                <c:pt idx="13">
                  <c:v>-20</c:v>
                </c:pt>
                <c:pt idx="14">
                  <c:v>-30</c:v>
                </c:pt>
                <c:pt idx="15">
                  <c:v>-40</c:v>
                </c:pt>
                <c:pt idx="16">
                  <c:v>-50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877-449A-B0CA-1591CBE2BA79}"/>
            </c:ext>
          </c:extLst>
        </c:ser>
        <c:ser>
          <c:idx val="2"/>
          <c:order val="2"/>
          <c:tx>
            <c:strRef>
              <c:f>'covered call'!$H$2</c:f>
              <c:strCache>
                <c:ptCount val="1"/>
                <c:pt idx="0">
                  <c:v>covered call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'covered call'!$E$3:$E$19</c:f>
              <c:numCache>
                <c:formatCode>General</c:formatCode>
                <c:ptCount val="17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</c:numCache>
            </c:numRef>
          </c:xVal>
          <c:yVal>
            <c:numRef>
              <c:f>'covered call'!$H$3:$H$19</c:f>
              <c:numCache>
                <c:formatCode>0.0</c:formatCode>
                <c:ptCount val="17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110</c:v>
                </c:pt>
                <c:pt idx="13">
                  <c:v>110</c:v>
                </c:pt>
                <c:pt idx="14">
                  <c:v>110</c:v>
                </c:pt>
                <c:pt idx="15">
                  <c:v>110</c:v>
                </c:pt>
                <c:pt idx="16">
                  <c:v>110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877-449A-B0CA-1591CBE2BA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3492240"/>
        <c:axId val="516072384"/>
      </c:scatterChart>
      <c:valAx>
        <c:axId val="713492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S(T)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072384"/>
        <c:crosses val="autoZero"/>
        <c:crossBetween val="midCat"/>
      </c:valAx>
      <c:valAx>
        <c:axId val="516072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4922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Short Put With Strike at 110 + cash</a:t>
            </a:r>
          </a:p>
        </c:rich>
      </c:tx>
      <c:layout>
        <c:manualLayout>
          <c:xMode val="edge"/>
          <c:yMode val="edge"/>
          <c:x val="0.30039284388121373"/>
          <c:y val="2.80000000000000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'covered call'!$I$2</c:f>
              <c:strCache>
                <c:ptCount val="1"/>
                <c:pt idx="0">
                  <c:v>short put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'covered call'!$E$3:$E$19</c:f>
              <c:numCache>
                <c:formatCode>General</c:formatCode>
                <c:ptCount val="17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</c:numCache>
            </c:numRef>
          </c:xVal>
          <c:yVal>
            <c:numRef>
              <c:f>'covered call'!$I$3:$I$19</c:f>
              <c:numCache>
                <c:formatCode>0.0</c:formatCode>
                <c:ptCount val="17"/>
                <c:pt idx="0">
                  <c:v>-110</c:v>
                </c:pt>
                <c:pt idx="1">
                  <c:v>-100</c:v>
                </c:pt>
                <c:pt idx="2">
                  <c:v>-90</c:v>
                </c:pt>
                <c:pt idx="3">
                  <c:v>-80</c:v>
                </c:pt>
                <c:pt idx="4">
                  <c:v>-70</c:v>
                </c:pt>
                <c:pt idx="5">
                  <c:v>-60</c:v>
                </c:pt>
                <c:pt idx="6">
                  <c:v>-50</c:v>
                </c:pt>
                <c:pt idx="7">
                  <c:v>-40</c:v>
                </c:pt>
                <c:pt idx="8">
                  <c:v>-30</c:v>
                </c:pt>
                <c:pt idx="9">
                  <c:v>-20</c:v>
                </c:pt>
                <c:pt idx="10">
                  <c:v>-10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D30-496F-A560-CFC2616C11EF}"/>
            </c:ext>
          </c:extLst>
        </c:ser>
        <c:ser>
          <c:idx val="1"/>
          <c:order val="1"/>
          <c:tx>
            <c:strRef>
              <c:f>'covered call'!$J$2</c:f>
              <c:strCache>
                <c:ptCount val="1"/>
                <c:pt idx="0">
                  <c:v>cash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'covered call'!$E$3:$E$19</c:f>
              <c:numCache>
                <c:formatCode>General</c:formatCode>
                <c:ptCount val="17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</c:numCache>
            </c:numRef>
          </c:xVal>
          <c:yVal>
            <c:numRef>
              <c:f>'covered call'!$J$3:$J$19</c:f>
              <c:numCache>
                <c:formatCode>0.0</c:formatCode>
                <c:ptCount val="17"/>
                <c:pt idx="0">
                  <c:v>110</c:v>
                </c:pt>
                <c:pt idx="1">
                  <c:v>110</c:v>
                </c:pt>
                <c:pt idx="2">
                  <c:v>110</c:v>
                </c:pt>
                <c:pt idx="3">
                  <c:v>110</c:v>
                </c:pt>
                <c:pt idx="4">
                  <c:v>110</c:v>
                </c:pt>
                <c:pt idx="5">
                  <c:v>110</c:v>
                </c:pt>
                <c:pt idx="6">
                  <c:v>110</c:v>
                </c:pt>
                <c:pt idx="7">
                  <c:v>110</c:v>
                </c:pt>
                <c:pt idx="8">
                  <c:v>110</c:v>
                </c:pt>
                <c:pt idx="9">
                  <c:v>110</c:v>
                </c:pt>
                <c:pt idx="10">
                  <c:v>110</c:v>
                </c:pt>
                <c:pt idx="11">
                  <c:v>110</c:v>
                </c:pt>
                <c:pt idx="12">
                  <c:v>110</c:v>
                </c:pt>
                <c:pt idx="13">
                  <c:v>110</c:v>
                </c:pt>
                <c:pt idx="14">
                  <c:v>110</c:v>
                </c:pt>
                <c:pt idx="15">
                  <c:v>110</c:v>
                </c:pt>
                <c:pt idx="16">
                  <c:v>110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D30-496F-A560-CFC2616C11EF}"/>
            </c:ext>
          </c:extLst>
        </c:ser>
        <c:ser>
          <c:idx val="2"/>
          <c:order val="2"/>
          <c:tx>
            <c:strRef>
              <c:f>'covered call'!$K$2</c:f>
              <c:strCache>
                <c:ptCount val="1"/>
                <c:pt idx="0">
                  <c:v>short put + cash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'covered call'!$E$3:$E$19</c:f>
              <c:numCache>
                <c:formatCode>General</c:formatCode>
                <c:ptCount val="17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</c:numCache>
            </c:numRef>
          </c:xVal>
          <c:yVal>
            <c:numRef>
              <c:f>'covered call'!$K$3:$K$19</c:f>
              <c:numCache>
                <c:formatCode>0.0</c:formatCode>
                <c:ptCount val="17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110</c:v>
                </c:pt>
                <c:pt idx="13">
                  <c:v>110</c:v>
                </c:pt>
                <c:pt idx="14">
                  <c:v>110</c:v>
                </c:pt>
                <c:pt idx="15">
                  <c:v>110</c:v>
                </c:pt>
                <c:pt idx="16">
                  <c:v>110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D30-496F-A560-CFC2616C1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3492240"/>
        <c:axId val="516072384"/>
      </c:scatterChart>
      <c:valAx>
        <c:axId val="713492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S(T)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072384"/>
        <c:crosses val="autoZero"/>
        <c:crossBetween val="midCat"/>
      </c:valAx>
      <c:valAx>
        <c:axId val="516072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4922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Bull spread</a:t>
            </a:r>
            <a:r>
              <a:rPr lang="en-SG" baseline="0"/>
              <a:t> using call options</a:t>
            </a:r>
            <a:endParaRPr lang="en-SG"/>
          </a:p>
        </c:rich>
      </c:tx>
      <c:layout>
        <c:manualLayout>
          <c:xMode val="edge"/>
          <c:yMode val="edge"/>
          <c:x val="0.30039284388121373"/>
          <c:y val="2.80000000000000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'bull spread'!$F$2</c:f>
              <c:strCache>
                <c:ptCount val="1"/>
                <c:pt idx="0">
                  <c:v>long call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'bull spread'!$E$3:$E$19</c:f>
              <c:numCache>
                <c:formatCode>General</c:formatCode>
                <c:ptCount val="17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</c:numCache>
            </c:numRef>
          </c:xVal>
          <c:yVal>
            <c:numRef>
              <c:f>'bull spread'!$F$3:$F$19</c:f>
              <c:numCache>
                <c:formatCode>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</c:v>
                </c:pt>
                <c:pt idx="10">
                  <c:v>20</c:v>
                </c:pt>
                <c:pt idx="11">
                  <c:v>30</c:v>
                </c:pt>
                <c:pt idx="12">
                  <c:v>40</c:v>
                </c:pt>
                <c:pt idx="13">
                  <c:v>50</c:v>
                </c:pt>
                <c:pt idx="14">
                  <c:v>60</c:v>
                </c:pt>
                <c:pt idx="15">
                  <c:v>70</c:v>
                </c:pt>
                <c:pt idx="16">
                  <c:v>80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F6-408E-B0AD-35249CAE6739}"/>
            </c:ext>
          </c:extLst>
        </c:ser>
        <c:ser>
          <c:idx val="1"/>
          <c:order val="1"/>
          <c:tx>
            <c:strRef>
              <c:f>'bull spread'!$G$2</c:f>
              <c:strCache>
                <c:ptCount val="1"/>
                <c:pt idx="0">
                  <c:v>short call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'bull spread'!$E$3:$E$19</c:f>
              <c:numCache>
                <c:formatCode>General</c:formatCode>
                <c:ptCount val="17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</c:numCache>
            </c:numRef>
          </c:xVal>
          <c:yVal>
            <c:numRef>
              <c:f>'bull spread'!$G$3:$G$19</c:f>
              <c:numCache>
                <c:formatCode>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-10</c:v>
                </c:pt>
                <c:pt idx="13">
                  <c:v>-20</c:v>
                </c:pt>
                <c:pt idx="14">
                  <c:v>-30</c:v>
                </c:pt>
                <c:pt idx="15">
                  <c:v>-40</c:v>
                </c:pt>
                <c:pt idx="16">
                  <c:v>-50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9F6-408E-B0AD-35249CAE6739}"/>
            </c:ext>
          </c:extLst>
        </c:ser>
        <c:ser>
          <c:idx val="2"/>
          <c:order val="2"/>
          <c:tx>
            <c:strRef>
              <c:f>'bull spread'!$H$2</c:f>
              <c:strCache>
                <c:ptCount val="1"/>
                <c:pt idx="0">
                  <c:v>bull call spread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'bull spread'!$E$3:$E$19</c:f>
              <c:numCache>
                <c:formatCode>General</c:formatCode>
                <c:ptCount val="17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</c:numCache>
            </c:numRef>
          </c:xVal>
          <c:yVal>
            <c:numRef>
              <c:f>'bull spread'!$H$3:$H$19</c:f>
              <c:numCache>
                <c:formatCode>0.0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</c:v>
                </c:pt>
                <c:pt idx="10">
                  <c:v>20</c:v>
                </c:pt>
                <c:pt idx="11">
                  <c:v>30</c:v>
                </c:pt>
                <c:pt idx="12">
                  <c:v>30</c:v>
                </c:pt>
                <c:pt idx="13">
                  <c:v>30</c:v>
                </c:pt>
                <c:pt idx="14">
                  <c:v>30</c:v>
                </c:pt>
                <c:pt idx="15">
                  <c:v>30</c:v>
                </c:pt>
                <c:pt idx="16">
                  <c:v>30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9F6-408E-B0AD-35249CAE67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3492240"/>
        <c:axId val="516072384"/>
      </c:scatterChart>
      <c:valAx>
        <c:axId val="713492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S(T)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072384"/>
        <c:crosses val="autoZero"/>
        <c:crossBetween val="midCat"/>
      </c:valAx>
      <c:valAx>
        <c:axId val="516072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4922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Bear spread using put options</a:t>
            </a:r>
          </a:p>
        </c:rich>
      </c:tx>
      <c:layout>
        <c:manualLayout>
          <c:xMode val="edge"/>
          <c:yMode val="edge"/>
          <c:x val="0.30039284388121373"/>
          <c:y val="2.80000000000000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'bull spread'!$I$2</c:f>
              <c:strCache>
                <c:ptCount val="1"/>
                <c:pt idx="0">
                  <c:v>long put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'bull spread'!$E$3:$E$19</c:f>
              <c:numCache>
                <c:formatCode>General</c:formatCode>
                <c:ptCount val="17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</c:numCache>
            </c:numRef>
          </c:xVal>
          <c:yVal>
            <c:numRef>
              <c:f>'bull spread'!$I$3:$I$19</c:f>
              <c:numCache>
                <c:formatCode>0</c:formatCode>
                <c:ptCount val="17"/>
                <c:pt idx="0">
                  <c:v>110</c:v>
                </c:pt>
                <c:pt idx="1">
                  <c:v>100</c:v>
                </c:pt>
                <c:pt idx="2">
                  <c:v>90</c:v>
                </c:pt>
                <c:pt idx="3">
                  <c:v>80</c:v>
                </c:pt>
                <c:pt idx="4">
                  <c:v>70</c:v>
                </c:pt>
                <c:pt idx="5">
                  <c:v>60</c:v>
                </c:pt>
                <c:pt idx="6">
                  <c:v>50</c:v>
                </c:pt>
                <c:pt idx="7">
                  <c:v>40</c:v>
                </c:pt>
                <c:pt idx="8">
                  <c:v>30</c:v>
                </c:pt>
                <c:pt idx="9">
                  <c:v>20</c:v>
                </c:pt>
                <c:pt idx="10">
                  <c:v>10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15F-4ECF-96BE-12BC8FC97AF1}"/>
            </c:ext>
          </c:extLst>
        </c:ser>
        <c:ser>
          <c:idx val="1"/>
          <c:order val="1"/>
          <c:tx>
            <c:strRef>
              <c:f>'bull spread'!$J$2</c:f>
              <c:strCache>
                <c:ptCount val="1"/>
                <c:pt idx="0">
                  <c:v>short put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'bull spread'!$E$3:$E$19</c:f>
              <c:numCache>
                <c:formatCode>General</c:formatCode>
                <c:ptCount val="17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</c:numCache>
            </c:numRef>
          </c:xVal>
          <c:yVal>
            <c:numRef>
              <c:f>'bull spread'!$J$3:$J$19</c:f>
              <c:numCache>
                <c:formatCode>0</c:formatCode>
                <c:ptCount val="17"/>
                <c:pt idx="0">
                  <c:v>-80</c:v>
                </c:pt>
                <c:pt idx="1">
                  <c:v>-70</c:v>
                </c:pt>
                <c:pt idx="2">
                  <c:v>-60</c:v>
                </c:pt>
                <c:pt idx="3">
                  <c:v>-50</c:v>
                </c:pt>
                <c:pt idx="4">
                  <c:v>-40</c:v>
                </c:pt>
                <c:pt idx="5">
                  <c:v>-30</c:v>
                </c:pt>
                <c:pt idx="6">
                  <c:v>-20</c:v>
                </c:pt>
                <c:pt idx="7">
                  <c:v>-10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15F-4ECF-96BE-12BC8FC97AF1}"/>
            </c:ext>
          </c:extLst>
        </c:ser>
        <c:ser>
          <c:idx val="2"/>
          <c:order val="2"/>
          <c:tx>
            <c:strRef>
              <c:f>'bull spread'!$K$2</c:f>
              <c:strCache>
                <c:ptCount val="1"/>
                <c:pt idx="0">
                  <c:v>bear put spread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'bull spread'!$E$3:$E$19</c:f>
              <c:numCache>
                <c:formatCode>General</c:formatCode>
                <c:ptCount val="17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</c:numCache>
            </c:numRef>
          </c:xVal>
          <c:yVal>
            <c:numRef>
              <c:f>'bull spread'!$K$3:$K$19</c:f>
              <c:numCache>
                <c:formatCode>0</c:formatCode>
                <c:ptCount val="17"/>
                <c:pt idx="0">
                  <c:v>30</c:v>
                </c:pt>
                <c:pt idx="1">
                  <c:v>30</c:v>
                </c:pt>
                <c:pt idx="2">
                  <c:v>30</c:v>
                </c:pt>
                <c:pt idx="3">
                  <c:v>30</c:v>
                </c:pt>
                <c:pt idx="4">
                  <c:v>30</c:v>
                </c:pt>
                <c:pt idx="5">
                  <c:v>30</c:v>
                </c:pt>
                <c:pt idx="6">
                  <c:v>30</c:v>
                </c:pt>
                <c:pt idx="7">
                  <c:v>30</c:v>
                </c:pt>
                <c:pt idx="8">
                  <c:v>30</c:v>
                </c:pt>
                <c:pt idx="9">
                  <c:v>20</c:v>
                </c:pt>
                <c:pt idx="10">
                  <c:v>10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15F-4ECF-96BE-12BC8FC97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3492240"/>
        <c:axId val="516072384"/>
      </c:scatterChart>
      <c:valAx>
        <c:axId val="713492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S(T)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072384"/>
        <c:crosses val="autoZero"/>
        <c:crossBetween val="midCat"/>
      </c:valAx>
      <c:valAx>
        <c:axId val="516072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4922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Bull spread</a:t>
            </a:r>
            <a:r>
              <a:rPr lang="en-SG" baseline="0"/>
              <a:t> as an approx. to digital call</a:t>
            </a:r>
            <a:endParaRPr lang="en-SG"/>
          </a:p>
        </c:rich>
      </c:tx>
      <c:layout>
        <c:manualLayout>
          <c:xMode val="edge"/>
          <c:yMode val="edge"/>
          <c:x val="0.24264750459613849"/>
          <c:y val="2.800008924932206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2"/>
          <c:order val="0"/>
          <c:tx>
            <c:strRef>
              <c:f>'digital call'!$H$2</c:f>
              <c:strCache>
                <c:ptCount val="1"/>
                <c:pt idx="0">
                  <c:v>bull call spread 85, 87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'digital call'!$E$3:$E$122</c:f>
              <c:numCache>
                <c:formatCode>General</c:formatCode>
                <c:ptCount val="120"/>
                <c:pt idx="0">
                  <c:v>80.099999999999994</c:v>
                </c:pt>
                <c:pt idx="1">
                  <c:v>80.2</c:v>
                </c:pt>
                <c:pt idx="2">
                  <c:v>80.3</c:v>
                </c:pt>
                <c:pt idx="3">
                  <c:v>80.400000000000006</c:v>
                </c:pt>
                <c:pt idx="4">
                  <c:v>80.5</c:v>
                </c:pt>
                <c:pt idx="5">
                  <c:v>80.599999999999994</c:v>
                </c:pt>
                <c:pt idx="6">
                  <c:v>80.7</c:v>
                </c:pt>
                <c:pt idx="7">
                  <c:v>80.800000000000097</c:v>
                </c:pt>
                <c:pt idx="8">
                  <c:v>80.900000000000105</c:v>
                </c:pt>
                <c:pt idx="9">
                  <c:v>81.000000000000099</c:v>
                </c:pt>
                <c:pt idx="10">
                  <c:v>81.100000000000094</c:v>
                </c:pt>
                <c:pt idx="11">
                  <c:v>81.200000000000102</c:v>
                </c:pt>
                <c:pt idx="12">
                  <c:v>81.300000000000097</c:v>
                </c:pt>
                <c:pt idx="13">
                  <c:v>81.400000000000105</c:v>
                </c:pt>
                <c:pt idx="14">
                  <c:v>81.500000000000099</c:v>
                </c:pt>
                <c:pt idx="15">
                  <c:v>81.600000000000094</c:v>
                </c:pt>
                <c:pt idx="16">
                  <c:v>81.700000000000102</c:v>
                </c:pt>
                <c:pt idx="17">
                  <c:v>81.800000000000097</c:v>
                </c:pt>
                <c:pt idx="18">
                  <c:v>81.900000000000105</c:v>
                </c:pt>
                <c:pt idx="19">
                  <c:v>82.000000000000199</c:v>
                </c:pt>
                <c:pt idx="20">
                  <c:v>82.100000000000193</c:v>
                </c:pt>
                <c:pt idx="21">
                  <c:v>82.200000000000202</c:v>
                </c:pt>
                <c:pt idx="22">
                  <c:v>82.300000000000196</c:v>
                </c:pt>
                <c:pt idx="23">
                  <c:v>82.400000000000205</c:v>
                </c:pt>
                <c:pt idx="24">
                  <c:v>82.500000000000199</c:v>
                </c:pt>
                <c:pt idx="25">
                  <c:v>82.600000000000193</c:v>
                </c:pt>
                <c:pt idx="26">
                  <c:v>82.700000000000202</c:v>
                </c:pt>
                <c:pt idx="27">
                  <c:v>82.800000000000196</c:v>
                </c:pt>
                <c:pt idx="28">
                  <c:v>82.900000000000205</c:v>
                </c:pt>
                <c:pt idx="29">
                  <c:v>83.000000000000199</c:v>
                </c:pt>
                <c:pt idx="30">
                  <c:v>83.100000000000307</c:v>
                </c:pt>
                <c:pt idx="31">
                  <c:v>83.200000000000301</c:v>
                </c:pt>
                <c:pt idx="32">
                  <c:v>83.300000000000296</c:v>
                </c:pt>
                <c:pt idx="33">
                  <c:v>83.400000000000304</c:v>
                </c:pt>
                <c:pt idx="34">
                  <c:v>83.500000000000298</c:v>
                </c:pt>
                <c:pt idx="35">
                  <c:v>83.600000000000307</c:v>
                </c:pt>
                <c:pt idx="36">
                  <c:v>83.700000000000301</c:v>
                </c:pt>
                <c:pt idx="37">
                  <c:v>83.800000000000296</c:v>
                </c:pt>
                <c:pt idx="38">
                  <c:v>83.900000000000304</c:v>
                </c:pt>
                <c:pt idx="39">
                  <c:v>84.000000000000298</c:v>
                </c:pt>
                <c:pt idx="40">
                  <c:v>84.100000000000307</c:v>
                </c:pt>
                <c:pt idx="41">
                  <c:v>84.200000000000301</c:v>
                </c:pt>
                <c:pt idx="42">
                  <c:v>84.300000000000395</c:v>
                </c:pt>
                <c:pt idx="43">
                  <c:v>84.400000000000404</c:v>
                </c:pt>
                <c:pt idx="44">
                  <c:v>84.500000000000398</c:v>
                </c:pt>
                <c:pt idx="45">
                  <c:v>84.600000000000406</c:v>
                </c:pt>
                <c:pt idx="46">
                  <c:v>84.700000000000401</c:v>
                </c:pt>
                <c:pt idx="47">
                  <c:v>84.800000000000395</c:v>
                </c:pt>
                <c:pt idx="48">
                  <c:v>84.900000000000404</c:v>
                </c:pt>
                <c:pt idx="49">
                  <c:v>85.000000000000398</c:v>
                </c:pt>
                <c:pt idx="50">
                  <c:v>85.100000000000406</c:v>
                </c:pt>
                <c:pt idx="51">
                  <c:v>85.200000000000401</c:v>
                </c:pt>
                <c:pt idx="52">
                  <c:v>85.300000000000395</c:v>
                </c:pt>
                <c:pt idx="53">
                  <c:v>85.400000000000404</c:v>
                </c:pt>
                <c:pt idx="54">
                  <c:v>85.500000000000497</c:v>
                </c:pt>
                <c:pt idx="55">
                  <c:v>85.600000000000506</c:v>
                </c:pt>
                <c:pt idx="56">
                  <c:v>85.7000000000005</c:v>
                </c:pt>
                <c:pt idx="57">
                  <c:v>85.800000000000495</c:v>
                </c:pt>
                <c:pt idx="58">
                  <c:v>85.900000000000503</c:v>
                </c:pt>
                <c:pt idx="59">
                  <c:v>86.000000000000497</c:v>
                </c:pt>
                <c:pt idx="60">
                  <c:v>86.100000000000506</c:v>
                </c:pt>
                <c:pt idx="61">
                  <c:v>86.2000000000005</c:v>
                </c:pt>
                <c:pt idx="62">
                  <c:v>86.300000000000495</c:v>
                </c:pt>
                <c:pt idx="63">
                  <c:v>86.400000000000503</c:v>
                </c:pt>
                <c:pt idx="64">
                  <c:v>86.500000000000497</c:v>
                </c:pt>
                <c:pt idx="65">
                  <c:v>86.600000000000506</c:v>
                </c:pt>
                <c:pt idx="66">
                  <c:v>86.7000000000006</c:v>
                </c:pt>
                <c:pt idx="67">
                  <c:v>86.800000000000594</c:v>
                </c:pt>
                <c:pt idx="68">
                  <c:v>86.900000000000603</c:v>
                </c:pt>
                <c:pt idx="69">
                  <c:v>87.000000000000597</c:v>
                </c:pt>
                <c:pt idx="70">
                  <c:v>87.100000000000605</c:v>
                </c:pt>
                <c:pt idx="71">
                  <c:v>87.2000000000006</c:v>
                </c:pt>
                <c:pt idx="72">
                  <c:v>87.300000000000594</c:v>
                </c:pt>
                <c:pt idx="73">
                  <c:v>87.400000000000603</c:v>
                </c:pt>
                <c:pt idx="74">
                  <c:v>87.500000000000597</c:v>
                </c:pt>
                <c:pt idx="75">
                  <c:v>87.600000000000605</c:v>
                </c:pt>
                <c:pt idx="76">
                  <c:v>87.7000000000006</c:v>
                </c:pt>
                <c:pt idx="77">
                  <c:v>87.800000000000693</c:v>
                </c:pt>
                <c:pt idx="78">
                  <c:v>87.900000000000702</c:v>
                </c:pt>
                <c:pt idx="79">
                  <c:v>88.000000000000696</c:v>
                </c:pt>
                <c:pt idx="80">
                  <c:v>88.100000000000705</c:v>
                </c:pt>
                <c:pt idx="81">
                  <c:v>88.200000000000699</c:v>
                </c:pt>
                <c:pt idx="82">
                  <c:v>88.300000000000693</c:v>
                </c:pt>
                <c:pt idx="83">
                  <c:v>88.400000000000702</c:v>
                </c:pt>
                <c:pt idx="84">
                  <c:v>88.500000000000696</c:v>
                </c:pt>
                <c:pt idx="85">
                  <c:v>88.600000000000705</c:v>
                </c:pt>
                <c:pt idx="86">
                  <c:v>88.700000000000699</c:v>
                </c:pt>
                <c:pt idx="87">
                  <c:v>88.800000000000693</c:v>
                </c:pt>
                <c:pt idx="88">
                  <c:v>88.900000000000702</c:v>
                </c:pt>
                <c:pt idx="89">
                  <c:v>89.000000000000796</c:v>
                </c:pt>
                <c:pt idx="90">
                  <c:v>89.100000000000804</c:v>
                </c:pt>
                <c:pt idx="91">
                  <c:v>89.200000000000799</c:v>
                </c:pt>
                <c:pt idx="92">
                  <c:v>89.300000000000793</c:v>
                </c:pt>
                <c:pt idx="93">
                  <c:v>89.400000000000801</c:v>
                </c:pt>
                <c:pt idx="94">
                  <c:v>89.500000000000796</c:v>
                </c:pt>
                <c:pt idx="95">
                  <c:v>89.600000000000804</c:v>
                </c:pt>
                <c:pt idx="96">
                  <c:v>89.700000000000799</c:v>
                </c:pt>
                <c:pt idx="97">
                  <c:v>89.800000000000793</c:v>
                </c:pt>
                <c:pt idx="98">
                  <c:v>89.900000000000801</c:v>
                </c:pt>
                <c:pt idx="99">
                  <c:v>90.000000000000796</c:v>
                </c:pt>
                <c:pt idx="100">
                  <c:v>90.100000000000904</c:v>
                </c:pt>
                <c:pt idx="101">
                  <c:v>90.200000000000898</c:v>
                </c:pt>
                <c:pt idx="102">
                  <c:v>90.300000000000907</c:v>
                </c:pt>
                <c:pt idx="103">
                  <c:v>90.400000000000901</c:v>
                </c:pt>
                <c:pt idx="104">
                  <c:v>90.500000000000895</c:v>
                </c:pt>
                <c:pt idx="105">
                  <c:v>90.600000000000904</c:v>
                </c:pt>
                <c:pt idx="106">
                  <c:v>90.700000000000898</c:v>
                </c:pt>
                <c:pt idx="107">
                  <c:v>90.800000000000907</c:v>
                </c:pt>
                <c:pt idx="108">
                  <c:v>90.900000000000901</c:v>
                </c:pt>
                <c:pt idx="109">
                  <c:v>91.000000000000895</c:v>
                </c:pt>
                <c:pt idx="110">
                  <c:v>91.100000000000904</c:v>
                </c:pt>
                <c:pt idx="111">
                  <c:v>91.200000000000898</c:v>
                </c:pt>
                <c:pt idx="112">
                  <c:v>91.300000000001006</c:v>
                </c:pt>
                <c:pt idx="113">
                  <c:v>91.400000000001</c:v>
                </c:pt>
                <c:pt idx="114">
                  <c:v>91.500000000000995</c:v>
                </c:pt>
                <c:pt idx="115">
                  <c:v>91.600000000001003</c:v>
                </c:pt>
                <c:pt idx="116">
                  <c:v>91.700000000000998</c:v>
                </c:pt>
                <c:pt idx="117">
                  <c:v>91.800000000001006</c:v>
                </c:pt>
                <c:pt idx="118">
                  <c:v>91.900000000001</c:v>
                </c:pt>
                <c:pt idx="119">
                  <c:v>92.000000000000995</c:v>
                </c:pt>
              </c:numCache>
            </c:numRef>
          </c:xVal>
          <c:yVal>
            <c:numRef>
              <c:f>'digital call'!$H$3:$H$122</c:f>
              <c:numCache>
                <c:formatCode>0.00</c:formatCode>
                <c:ptCount val="1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1.9895196601282805E-13</c:v>
                </c:pt>
                <c:pt idx="50">
                  <c:v>5.0000000000203215E-2</c:v>
                </c:pt>
                <c:pt idx="51">
                  <c:v>0.10000000000020037</c:v>
                </c:pt>
                <c:pt idx="52">
                  <c:v>0.15000000000019753</c:v>
                </c:pt>
                <c:pt idx="53">
                  <c:v>0.20000000000020179</c:v>
                </c:pt>
                <c:pt idx="54">
                  <c:v>0.25000000000024869</c:v>
                </c:pt>
                <c:pt idx="55">
                  <c:v>0.30000000000025295</c:v>
                </c:pt>
                <c:pt idx="56">
                  <c:v>0.35000000000025011</c:v>
                </c:pt>
                <c:pt idx="57">
                  <c:v>0.40000000000024727</c:v>
                </c:pt>
                <c:pt idx="58">
                  <c:v>0.45000000000025153</c:v>
                </c:pt>
                <c:pt idx="59">
                  <c:v>0.50000000000024869</c:v>
                </c:pt>
                <c:pt idx="60">
                  <c:v>0.55000000000025295</c:v>
                </c:pt>
                <c:pt idx="61">
                  <c:v>0.60000000000025011</c:v>
                </c:pt>
                <c:pt idx="62">
                  <c:v>0.65000000000024727</c:v>
                </c:pt>
                <c:pt idx="63">
                  <c:v>0.70000000000025153</c:v>
                </c:pt>
                <c:pt idx="64">
                  <c:v>0.75000000000024869</c:v>
                </c:pt>
                <c:pt idx="65">
                  <c:v>0.80000000000025295</c:v>
                </c:pt>
                <c:pt idx="66">
                  <c:v>0.85000000000029985</c:v>
                </c:pt>
                <c:pt idx="67">
                  <c:v>0.90000000000029701</c:v>
                </c:pt>
                <c:pt idx="68">
                  <c:v>0.95000000000030127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BDC-4A54-AFA1-F5DC6C82590D}"/>
            </c:ext>
          </c:extLst>
        </c:ser>
        <c:ser>
          <c:idx val="0"/>
          <c:order val="1"/>
          <c:tx>
            <c:strRef>
              <c:f>'digital call'!$L$2</c:f>
              <c:strCache>
                <c:ptCount val="1"/>
                <c:pt idx="0">
                  <c:v>digital call @ 86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'digital call'!$E$3:$E$122</c:f>
              <c:numCache>
                <c:formatCode>General</c:formatCode>
                <c:ptCount val="120"/>
                <c:pt idx="0">
                  <c:v>80.099999999999994</c:v>
                </c:pt>
                <c:pt idx="1">
                  <c:v>80.2</c:v>
                </c:pt>
                <c:pt idx="2">
                  <c:v>80.3</c:v>
                </c:pt>
                <c:pt idx="3">
                  <c:v>80.400000000000006</c:v>
                </c:pt>
                <c:pt idx="4">
                  <c:v>80.5</c:v>
                </c:pt>
                <c:pt idx="5">
                  <c:v>80.599999999999994</c:v>
                </c:pt>
                <c:pt idx="6">
                  <c:v>80.7</c:v>
                </c:pt>
                <c:pt idx="7">
                  <c:v>80.800000000000097</c:v>
                </c:pt>
                <c:pt idx="8">
                  <c:v>80.900000000000105</c:v>
                </c:pt>
                <c:pt idx="9">
                  <c:v>81.000000000000099</c:v>
                </c:pt>
                <c:pt idx="10">
                  <c:v>81.100000000000094</c:v>
                </c:pt>
                <c:pt idx="11">
                  <c:v>81.200000000000102</c:v>
                </c:pt>
                <c:pt idx="12">
                  <c:v>81.300000000000097</c:v>
                </c:pt>
                <c:pt idx="13">
                  <c:v>81.400000000000105</c:v>
                </c:pt>
                <c:pt idx="14">
                  <c:v>81.500000000000099</c:v>
                </c:pt>
                <c:pt idx="15">
                  <c:v>81.600000000000094</c:v>
                </c:pt>
                <c:pt idx="16">
                  <c:v>81.700000000000102</c:v>
                </c:pt>
                <c:pt idx="17">
                  <c:v>81.800000000000097</c:v>
                </c:pt>
                <c:pt idx="18">
                  <c:v>81.900000000000105</c:v>
                </c:pt>
                <c:pt idx="19">
                  <c:v>82.000000000000199</c:v>
                </c:pt>
                <c:pt idx="20">
                  <c:v>82.100000000000193</c:v>
                </c:pt>
                <c:pt idx="21">
                  <c:v>82.200000000000202</c:v>
                </c:pt>
                <c:pt idx="22">
                  <c:v>82.300000000000196</c:v>
                </c:pt>
                <c:pt idx="23">
                  <c:v>82.400000000000205</c:v>
                </c:pt>
                <c:pt idx="24">
                  <c:v>82.500000000000199</c:v>
                </c:pt>
                <c:pt idx="25">
                  <c:v>82.600000000000193</c:v>
                </c:pt>
                <c:pt idx="26">
                  <c:v>82.700000000000202</c:v>
                </c:pt>
                <c:pt idx="27">
                  <c:v>82.800000000000196</c:v>
                </c:pt>
                <c:pt idx="28">
                  <c:v>82.900000000000205</c:v>
                </c:pt>
                <c:pt idx="29">
                  <c:v>83.000000000000199</c:v>
                </c:pt>
                <c:pt idx="30">
                  <c:v>83.100000000000307</c:v>
                </c:pt>
                <c:pt idx="31">
                  <c:v>83.200000000000301</c:v>
                </c:pt>
                <c:pt idx="32">
                  <c:v>83.300000000000296</c:v>
                </c:pt>
                <c:pt idx="33">
                  <c:v>83.400000000000304</c:v>
                </c:pt>
                <c:pt idx="34">
                  <c:v>83.500000000000298</c:v>
                </c:pt>
                <c:pt idx="35">
                  <c:v>83.600000000000307</c:v>
                </c:pt>
                <c:pt idx="36">
                  <c:v>83.700000000000301</c:v>
                </c:pt>
                <c:pt idx="37">
                  <c:v>83.800000000000296</c:v>
                </c:pt>
                <c:pt idx="38">
                  <c:v>83.900000000000304</c:v>
                </c:pt>
                <c:pt idx="39">
                  <c:v>84.000000000000298</c:v>
                </c:pt>
                <c:pt idx="40">
                  <c:v>84.100000000000307</c:v>
                </c:pt>
                <c:pt idx="41">
                  <c:v>84.200000000000301</c:v>
                </c:pt>
                <c:pt idx="42">
                  <c:v>84.300000000000395</c:v>
                </c:pt>
                <c:pt idx="43">
                  <c:v>84.400000000000404</c:v>
                </c:pt>
                <c:pt idx="44">
                  <c:v>84.500000000000398</c:v>
                </c:pt>
                <c:pt idx="45">
                  <c:v>84.600000000000406</c:v>
                </c:pt>
                <c:pt idx="46">
                  <c:v>84.700000000000401</c:v>
                </c:pt>
                <c:pt idx="47">
                  <c:v>84.800000000000395</c:v>
                </c:pt>
                <c:pt idx="48">
                  <c:v>84.900000000000404</c:v>
                </c:pt>
                <c:pt idx="49">
                  <c:v>85.000000000000398</c:v>
                </c:pt>
                <c:pt idx="50">
                  <c:v>85.100000000000406</c:v>
                </c:pt>
                <c:pt idx="51">
                  <c:v>85.200000000000401</c:v>
                </c:pt>
                <c:pt idx="52">
                  <c:v>85.300000000000395</c:v>
                </c:pt>
                <c:pt idx="53">
                  <c:v>85.400000000000404</c:v>
                </c:pt>
                <c:pt idx="54">
                  <c:v>85.500000000000497</c:v>
                </c:pt>
                <c:pt idx="55">
                  <c:v>85.600000000000506</c:v>
                </c:pt>
                <c:pt idx="56">
                  <c:v>85.7000000000005</c:v>
                </c:pt>
                <c:pt idx="57">
                  <c:v>85.800000000000495</c:v>
                </c:pt>
                <c:pt idx="58">
                  <c:v>85.900000000000503</c:v>
                </c:pt>
                <c:pt idx="59">
                  <c:v>86.000000000000497</c:v>
                </c:pt>
                <c:pt idx="60">
                  <c:v>86.100000000000506</c:v>
                </c:pt>
                <c:pt idx="61">
                  <c:v>86.2000000000005</c:v>
                </c:pt>
                <c:pt idx="62">
                  <c:v>86.300000000000495</c:v>
                </c:pt>
                <c:pt idx="63">
                  <c:v>86.400000000000503</c:v>
                </c:pt>
                <c:pt idx="64">
                  <c:v>86.500000000000497</c:v>
                </c:pt>
                <c:pt idx="65">
                  <c:v>86.600000000000506</c:v>
                </c:pt>
                <c:pt idx="66">
                  <c:v>86.7000000000006</c:v>
                </c:pt>
                <c:pt idx="67">
                  <c:v>86.800000000000594</c:v>
                </c:pt>
                <c:pt idx="68">
                  <c:v>86.900000000000603</c:v>
                </c:pt>
                <c:pt idx="69">
                  <c:v>87.000000000000597</c:v>
                </c:pt>
                <c:pt idx="70">
                  <c:v>87.100000000000605</c:v>
                </c:pt>
                <c:pt idx="71">
                  <c:v>87.2000000000006</c:v>
                </c:pt>
                <c:pt idx="72">
                  <c:v>87.300000000000594</c:v>
                </c:pt>
                <c:pt idx="73">
                  <c:v>87.400000000000603</c:v>
                </c:pt>
                <c:pt idx="74">
                  <c:v>87.500000000000597</c:v>
                </c:pt>
                <c:pt idx="75">
                  <c:v>87.600000000000605</c:v>
                </c:pt>
                <c:pt idx="76">
                  <c:v>87.7000000000006</c:v>
                </c:pt>
                <c:pt idx="77">
                  <c:v>87.800000000000693</c:v>
                </c:pt>
                <c:pt idx="78">
                  <c:v>87.900000000000702</c:v>
                </c:pt>
                <c:pt idx="79">
                  <c:v>88.000000000000696</c:v>
                </c:pt>
                <c:pt idx="80">
                  <c:v>88.100000000000705</c:v>
                </c:pt>
                <c:pt idx="81">
                  <c:v>88.200000000000699</c:v>
                </c:pt>
                <c:pt idx="82">
                  <c:v>88.300000000000693</c:v>
                </c:pt>
                <c:pt idx="83">
                  <c:v>88.400000000000702</c:v>
                </c:pt>
                <c:pt idx="84">
                  <c:v>88.500000000000696</c:v>
                </c:pt>
                <c:pt idx="85">
                  <c:v>88.600000000000705</c:v>
                </c:pt>
                <c:pt idx="86">
                  <c:v>88.700000000000699</c:v>
                </c:pt>
                <c:pt idx="87">
                  <c:v>88.800000000000693</c:v>
                </c:pt>
                <c:pt idx="88">
                  <c:v>88.900000000000702</c:v>
                </c:pt>
                <c:pt idx="89">
                  <c:v>89.000000000000796</c:v>
                </c:pt>
                <c:pt idx="90">
                  <c:v>89.100000000000804</c:v>
                </c:pt>
                <c:pt idx="91">
                  <c:v>89.200000000000799</c:v>
                </c:pt>
                <c:pt idx="92">
                  <c:v>89.300000000000793</c:v>
                </c:pt>
                <c:pt idx="93">
                  <c:v>89.400000000000801</c:v>
                </c:pt>
                <c:pt idx="94">
                  <c:v>89.500000000000796</c:v>
                </c:pt>
                <c:pt idx="95">
                  <c:v>89.600000000000804</c:v>
                </c:pt>
                <c:pt idx="96">
                  <c:v>89.700000000000799</c:v>
                </c:pt>
                <c:pt idx="97">
                  <c:v>89.800000000000793</c:v>
                </c:pt>
                <c:pt idx="98">
                  <c:v>89.900000000000801</c:v>
                </c:pt>
                <c:pt idx="99">
                  <c:v>90.000000000000796</c:v>
                </c:pt>
                <c:pt idx="100">
                  <c:v>90.100000000000904</c:v>
                </c:pt>
                <c:pt idx="101">
                  <c:v>90.200000000000898</c:v>
                </c:pt>
                <c:pt idx="102">
                  <c:v>90.300000000000907</c:v>
                </c:pt>
                <c:pt idx="103">
                  <c:v>90.400000000000901</c:v>
                </c:pt>
                <c:pt idx="104">
                  <c:v>90.500000000000895</c:v>
                </c:pt>
                <c:pt idx="105">
                  <c:v>90.600000000000904</c:v>
                </c:pt>
                <c:pt idx="106">
                  <c:v>90.700000000000898</c:v>
                </c:pt>
                <c:pt idx="107">
                  <c:v>90.800000000000907</c:v>
                </c:pt>
                <c:pt idx="108">
                  <c:v>90.900000000000901</c:v>
                </c:pt>
                <c:pt idx="109">
                  <c:v>91.000000000000895</c:v>
                </c:pt>
                <c:pt idx="110">
                  <c:v>91.100000000000904</c:v>
                </c:pt>
                <c:pt idx="111">
                  <c:v>91.200000000000898</c:v>
                </c:pt>
                <c:pt idx="112">
                  <c:v>91.300000000001006</c:v>
                </c:pt>
                <c:pt idx="113">
                  <c:v>91.400000000001</c:v>
                </c:pt>
                <c:pt idx="114">
                  <c:v>91.500000000000995</c:v>
                </c:pt>
                <c:pt idx="115">
                  <c:v>91.600000000001003</c:v>
                </c:pt>
                <c:pt idx="116">
                  <c:v>91.700000000000998</c:v>
                </c:pt>
                <c:pt idx="117">
                  <c:v>91.800000000001006</c:v>
                </c:pt>
                <c:pt idx="118">
                  <c:v>91.900000000001</c:v>
                </c:pt>
                <c:pt idx="119">
                  <c:v>92.000000000000995</c:v>
                </c:pt>
              </c:numCache>
            </c:numRef>
          </c:xVal>
          <c:yVal>
            <c:numRef>
              <c:f>'digital call'!$L$3:$L$122</c:f>
              <c:numCache>
                <c:formatCode>0.0</c:formatCode>
                <c:ptCount val="1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BDC-4A54-AFA1-F5DC6C82590D}"/>
            </c:ext>
          </c:extLst>
        </c:ser>
        <c:ser>
          <c:idx val="1"/>
          <c:order val="2"/>
          <c:tx>
            <c:strRef>
              <c:f>'digital call'!$K$2</c:f>
              <c:strCache>
                <c:ptCount val="1"/>
                <c:pt idx="0">
                  <c:v>bull call spread 84, 88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'digital call'!$E$3:$E$122</c:f>
              <c:numCache>
                <c:formatCode>General</c:formatCode>
                <c:ptCount val="120"/>
                <c:pt idx="0">
                  <c:v>80.099999999999994</c:v>
                </c:pt>
                <c:pt idx="1">
                  <c:v>80.2</c:v>
                </c:pt>
                <c:pt idx="2">
                  <c:v>80.3</c:v>
                </c:pt>
                <c:pt idx="3">
                  <c:v>80.400000000000006</c:v>
                </c:pt>
                <c:pt idx="4">
                  <c:v>80.5</c:v>
                </c:pt>
                <c:pt idx="5">
                  <c:v>80.599999999999994</c:v>
                </c:pt>
                <c:pt idx="6">
                  <c:v>80.7</c:v>
                </c:pt>
                <c:pt idx="7">
                  <c:v>80.800000000000097</c:v>
                </c:pt>
                <c:pt idx="8">
                  <c:v>80.900000000000105</c:v>
                </c:pt>
                <c:pt idx="9">
                  <c:v>81.000000000000099</c:v>
                </c:pt>
                <c:pt idx="10">
                  <c:v>81.100000000000094</c:v>
                </c:pt>
                <c:pt idx="11">
                  <c:v>81.200000000000102</c:v>
                </c:pt>
                <c:pt idx="12">
                  <c:v>81.300000000000097</c:v>
                </c:pt>
                <c:pt idx="13">
                  <c:v>81.400000000000105</c:v>
                </c:pt>
                <c:pt idx="14">
                  <c:v>81.500000000000099</c:v>
                </c:pt>
                <c:pt idx="15">
                  <c:v>81.600000000000094</c:v>
                </c:pt>
                <c:pt idx="16">
                  <c:v>81.700000000000102</c:v>
                </c:pt>
                <c:pt idx="17">
                  <c:v>81.800000000000097</c:v>
                </c:pt>
                <c:pt idx="18">
                  <c:v>81.900000000000105</c:v>
                </c:pt>
                <c:pt idx="19">
                  <c:v>82.000000000000199</c:v>
                </c:pt>
                <c:pt idx="20">
                  <c:v>82.100000000000193</c:v>
                </c:pt>
                <c:pt idx="21">
                  <c:v>82.200000000000202</c:v>
                </c:pt>
                <c:pt idx="22">
                  <c:v>82.300000000000196</c:v>
                </c:pt>
                <c:pt idx="23">
                  <c:v>82.400000000000205</c:v>
                </c:pt>
                <c:pt idx="24">
                  <c:v>82.500000000000199</c:v>
                </c:pt>
                <c:pt idx="25">
                  <c:v>82.600000000000193</c:v>
                </c:pt>
                <c:pt idx="26">
                  <c:v>82.700000000000202</c:v>
                </c:pt>
                <c:pt idx="27">
                  <c:v>82.800000000000196</c:v>
                </c:pt>
                <c:pt idx="28">
                  <c:v>82.900000000000205</c:v>
                </c:pt>
                <c:pt idx="29">
                  <c:v>83.000000000000199</c:v>
                </c:pt>
                <c:pt idx="30">
                  <c:v>83.100000000000307</c:v>
                </c:pt>
                <c:pt idx="31">
                  <c:v>83.200000000000301</c:v>
                </c:pt>
                <c:pt idx="32">
                  <c:v>83.300000000000296</c:v>
                </c:pt>
                <c:pt idx="33">
                  <c:v>83.400000000000304</c:v>
                </c:pt>
                <c:pt idx="34">
                  <c:v>83.500000000000298</c:v>
                </c:pt>
                <c:pt idx="35">
                  <c:v>83.600000000000307</c:v>
                </c:pt>
                <c:pt idx="36">
                  <c:v>83.700000000000301</c:v>
                </c:pt>
                <c:pt idx="37">
                  <c:v>83.800000000000296</c:v>
                </c:pt>
                <c:pt idx="38">
                  <c:v>83.900000000000304</c:v>
                </c:pt>
                <c:pt idx="39">
                  <c:v>84.000000000000298</c:v>
                </c:pt>
                <c:pt idx="40">
                  <c:v>84.100000000000307</c:v>
                </c:pt>
                <c:pt idx="41">
                  <c:v>84.200000000000301</c:v>
                </c:pt>
                <c:pt idx="42">
                  <c:v>84.300000000000395</c:v>
                </c:pt>
                <c:pt idx="43">
                  <c:v>84.400000000000404</c:v>
                </c:pt>
                <c:pt idx="44">
                  <c:v>84.500000000000398</c:v>
                </c:pt>
                <c:pt idx="45">
                  <c:v>84.600000000000406</c:v>
                </c:pt>
                <c:pt idx="46">
                  <c:v>84.700000000000401</c:v>
                </c:pt>
                <c:pt idx="47">
                  <c:v>84.800000000000395</c:v>
                </c:pt>
                <c:pt idx="48">
                  <c:v>84.900000000000404</c:v>
                </c:pt>
                <c:pt idx="49">
                  <c:v>85.000000000000398</c:v>
                </c:pt>
                <c:pt idx="50">
                  <c:v>85.100000000000406</c:v>
                </c:pt>
                <c:pt idx="51">
                  <c:v>85.200000000000401</c:v>
                </c:pt>
                <c:pt idx="52">
                  <c:v>85.300000000000395</c:v>
                </c:pt>
                <c:pt idx="53">
                  <c:v>85.400000000000404</c:v>
                </c:pt>
                <c:pt idx="54">
                  <c:v>85.500000000000497</c:v>
                </c:pt>
                <c:pt idx="55">
                  <c:v>85.600000000000506</c:v>
                </c:pt>
                <c:pt idx="56">
                  <c:v>85.7000000000005</c:v>
                </c:pt>
                <c:pt idx="57">
                  <c:v>85.800000000000495</c:v>
                </c:pt>
                <c:pt idx="58">
                  <c:v>85.900000000000503</c:v>
                </c:pt>
                <c:pt idx="59">
                  <c:v>86.000000000000497</c:v>
                </c:pt>
                <c:pt idx="60">
                  <c:v>86.100000000000506</c:v>
                </c:pt>
                <c:pt idx="61">
                  <c:v>86.2000000000005</c:v>
                </c:pt>
                <c:pt idx="62">
                  <c:v>86.300000000000495</c:v>
                </c:pt>
                <c:pt idx="63">
                  <c:v>86.400000000000503</c:v>
                </c:pt>
                <c:pt idx="64">
                  <c:v>86.500000000000497</c:v>
                </c:pt>
                <c:pt idx="65">
                  <c:v>86.600000000000506</c:v>
                </c:pt>
                <c:pt idx="66">
                  <c:v>86.7000000000006</c:v>
                </c:pt>
                <c:pt idx="67">
                  <c:v>86.800000000000594</c:v>
                </c:pt>
                <c:pt idx="68">
                  <c:v>86.900000000000603</c:v>
                </c:pt>
                <c:pt idx="69">
                  <c:v>87.000000000000597</c:v>
                </c:pt>
                <c:pt idx="70">
                  <c:v>87.100000000000605</c:v>
                </c:pt>
                <c:pt idx="71">
                  <c:v>87.2000000000006</c:v>
                </c:pt>
                <c:pt idx="72">
                  <c:v>87.300000000000594</c:v>
                </c:pt>
                <c:pt idx="73">
                  <c:v>87.400000000000603</c:v>
                </c:pt>
                <c:pt idx="74">
                  <c:v>87.500000000000597</c:v>
                </c:pt>
                <c:pt idx="75">
                  <c:v>87.600000000000605</c:v>
                </c:pt>
                <c:pt idx="76">
                  <c:v>87.7000000000006</c:v>
                </c:pt>
                <c:pt idx="77">
                  <c:v>87.800000000000693</c:v>
                </c:pt>
                <c:pt idx="78">
                  <c:v>87.900000000000702</c:v>
                </c:pt>
                <c:pt idx="79">
                  <c:v>88.000000000000696</c:v>
                </c:pt>
                <c:pt idx="80">
                  <c:v>88.100000000000705</c:v>
                </c:pt>
                <c:pt idx="81">
                  <c:v>88.200000000000699</c:v>
                </c:pt>
                <c:pt idx="82">
                  <c:v>88.300000000000693</c:v>
                </c:pt>
                <c:pt idx="83">
                  <c:v>88.400000000000702</c:v>
                </c:pt>
                <c:pt idx="84">
                  <c:v>88.500000000000696</c:v>
                </c:pt>
                <c:pt idx="85">
                  <c:v>88.600000000000705</c:v>
                </c:pt>
                <c:pt idx="86">
                  <c:v>88.700000000000699</c:v>
                </c:pt>
                <c:pt idx="87">
                  <c:v>88.800000000000693</c:v>
                </c:pt>
                <c:pt idx="88">
                  <c:v>88.900000000000702</c:v>
                </c:pt>
                <c:pt idx="89">
                  <c:v>89.000000000000796</c:v>
                </c:pt>
                <c:pt idx="90">
                  <c:v>89.100000000000804</c:v>
                </c:pt>
                <c:pt idx="91">
                  <c:v>89.200000000000799</c:v>
                </c:pt>
                <c:pt idx="92">
                  <c:v>89.300000000000793</c:v>
                </c:pt>
                <c:pt idx="93">
                  <c:v>89.400000000000801</c:v>
                </c:pt>
                <c:pt idx="94">
                  <c:v>89.500000000000796</c:v>
                </c:pt>
                <c:pt idx="95">
                  <c:v>89.600000000000804</c:v>
                </c:pt>
                <c:pt idx="96">
                  <c:v>89.700000000000799</c:v>
                </c:pt>
                <c:pt idx="97">
                  <c:v>89.800000000000793</c:v>
                </c:pt>
                <c:pt idx="98">
                  <c:v>89.900000000000801</c:v>
                </c:pt>
                <c:pt idx="99">
                  <c:v>90.000000000000796</c:v>
                </c:pt>
                <c:pt idx="100">
                  <c:v>90.100000000000904</c:v>
                </c:pt>
                <c:pt idx="101">
                  <c:v>90.200000000000898</c:v>
                </c:pt>
                <c:pt idx="102">
                  <c:v>90.300000000000907</c:v>
                </c:pt>
                <c:pt idx="103">
                  <c:v>90.400000000000901</c:v>
                </c:pt>
                <c:pt idx="104">
                  <c:v>90.500000000000895</c:v>
                </c:pt>
                <c:pt idx="105">
                  <c:v>90.600000000000904</c:v>
                </c:pt>
                <c:pt idx="106">
                  <c:v>90.700000000000898</c:v>
                </c:pt>
                <c:pt idx="107">
                  <c:v>90.800000000000907</c:v>
                </c:pt>
                <c:pt idx="108">
                  <c:v>90.900000000000901</c:v>
                </c:pt>
                <c:pt idx="109">
                  <c:v>91.000000000000895</c:v>
                </c:pt>
                <c:pt idx="110">
                  <c:v>91.100000000000904</c:v>
                </c:pt>
                <c:pt idx="111">
                  <c:v>91.200000000000898</c:v>
                </c:pt>
                <c:pt idx="112">
                  <c:v>91.300000000001006</c:v>
                </c:pt>
                <c:pt idx="113">
                  <c:v>91.400000000001</c:v>
                </c:pt>
                <c:pt idx="114">
                  <c:v>91.500000000000995</c:v>
                </c:pt>
                <c:pt idx="115">
                  <c:v>91.600000000001003</c:v>
                </c:pt>
                <c:pt idx="116">
                  <c:v>91.700000000000998</c:v>
                </c:pt>
                <c:pt idx="117">
                  <c:v>91.800000000001006</c:v>
                </c:pt>
                <c:pt idx="118">
                  <c:v>91.900000000001</c:v>
                </c:pt>
                <c:pt idx="119">
                  <c:v>92.000000000000995</c:v>
                </c:pt>
              </c:numCache>
            </c:numRef>
          </c:xVal>
          <c:yVal>
            <c:numRef>
              <c:f>'digital call'!$K$3:$K$122</c:f>
              <c:numCache>
                <c:formatCode>0.00</c:formatCode>
                <c:ptCount val="1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7.460698725481052E-14</c:v>
                </c:pt>
                <c:pt idx="40">
                  <c:v>2.5000000000076739E-2</c:v>
                </c:pt>
                <c:pt idx="41">
                  <c:v>5.0000000000075318E-2</c:v>
                </c:pt>
                <c:pt idx="42">
                  <c:v>7.5000000000098765E-2</c:v>
                </c:pt>
                <c:pt idx="43">
                  <c:v>0.1000000000001009</c:v>
                </c:pt>
                <c:pt idx="44">
                  <c:v>0.12500000000009948</c:v>
                </c:pt>
                <c:pt idx="45">
                  <c:v>0.15000000000010161</c:v>
                </c:pt>
                <c:pt idx="46">
                  <c:v>0.17500000000010019</c:v>
                </c:pt>
                <c:pt idx="47">
                  <c:v>0.20000000000009877</c:v>
                </c:pt>
                <c:pt idx="48">
                  <c:v>0.2250000000001009</c:v>
                </c:pt>
                <c:pt idx="49">
                  <c:v>0.25000000000009948</c:v>
                </c:pt>
                <c:pt idx="50">
                  <c:v>0.27500000000010161</c:v>
                </c:pt>
                <c:pt idx="51">
                  <c:v>0.30000000000010019</c:v>
                </c:pt>
                <c:pt idx="52">
                  <c:v>0.32500000000009877</c:v>
                </c:pt>
                <c:pt idx="53">
                  <c:v>0.3500000000001009</c:v>
                </c:pt>
                <c:pt idx="54">
                  <c:v>0.37500000000012434</c:v>
                </c:pt>
                <c:pt idx="55">
                  <c:v>0.40000000000012648</c:v>
                </c:pt>
                <c:pt idx="56">
                  <c:v>0.42500000000012506</c:v>
                </c:pt>
                <c:pt idx="57">
                  <c:v>0.45000000000012363</c:v>
                </c:pt>
                <c:pt idx="58">
                  <c:v>0.47500000000012577</c:v>
                </c:pt>
                <c:pt idx="59">
                  <c:v>0.50000000000012434</c:v>
                </c:pt>
                <c:pt idx="60">
                  <c:v>0.52500000000012648</c:v>
                </c:pt>
                <c:pt idx="61">
                  <c:v>0.55000000000012506</c:v>
                </c:pt>
                <c:pt idx="62">
                  <c:v>0.57500000000012363</c:v>
                </c:pt>
                <c:pt idx="63">
                  <c:v>0.60000000000012577</c:v>
                </c:pt>
                <c:pt idx="64">
                  <c:v>0.62500000000012434</c:v>
                </c:pt>
                <c:pt idx="65">
                  <c:v>0.65000000000012648</c:v>
                </c:pt>
                <c:pt idx="66">
                  <c:v>0.67500000000014992</c:v>
                </c:pt>
                <c:pt idx="67">
                  <c:v>0.7000000000001485</c:v>
                </c:pt>
                <c:pt idx="68">
                  <c:v>0.72500000000015064</c:v>
                </c:pt>
                <c:pt idx="69">
                  <c:v>0.75000000000014921</c:v>
                </c:pt>
                <c:pt idx="70">
                  <c:v>0.77500000000015135</c:v>
                </c:pt>
                <c:pt idx="71">
                  <c:v>0.80000000000014992</c:v>
                </c:pt>
                <c:pt idx="72">
                  <c:v>0.8250000000001485</c:v>
                </c:pt>
                <c:pt idx="73">
                  <c:v>0.85000000000015064</c:v>
                </c:pt>
                <c:pt idx="74">
                  <c:v>0.87500000000014921</c:v>
                </c:pt>
                <c:pt idx="75">
                  <c:v>0.90000000000015135</c:v>
                </c:pt>
                <c:pt idx="76">
                  <c:v>0.92500000000014992</c:v>
                </c:pt>
                <c:pt idx="77">
                  <c:v>0.95000000000017337</c:v>
                </c:pt>
                <c:pt idx="78">
                  <c:v>0.9750000000001755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BDC-4A54-AFA1-F5DC6C8259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3492240"/>
        <c:axId val="516072384"/>
      </c:scatterChart>
      <c:valAx>
        <c:axId val="713492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S(T)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072384"/>
        <c:crosses val="autoZero"/>
        <c:crossBetween val="midCat"/>
      </c:valAx>
      <c:valAx>
        <c:axId val="516072384"/>
        <c:scaling>
          <c:orientation val="minMax"/>
          <c:max val="1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4922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Digital call option</a:t>
            </a:r>
            <a:r>
              <a:rPr lang="en-SG" baseline="0"/>
              <a:t> with H=86</a:t>
            </a:r>
            <a:endParaRPr lang="en-SG"/>
          </a:p>
        </c:rich>
      </c:tx>
      <c:layout>
        <c:manualLayout>
          <c:xMode val="edge"/>
          <c:yMode val="edge"/>
          <c:x val="0.33648375323775792"/>
          <c:y val="2.800008924932206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'digital call'!$L$2</c:f>
              <c:strCache>
                <c:ptCount val="1"/>
                <c:pt idx="0">
                  <c:v>digital call @ 86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'digital call'!$E$3:$E$122</c:f>
              <c:numCache>
                <c:formatCode>General</c:formatCode>
                <c:ptCount val="120"/>
                <c:pt idx="0">
                  <c:v>80.099999999999994</c:v>
                </c:pt>
                <c:pt idx="1">
                  <c:v>80.2</c:v>
                </c:pt>
                <c:pt idx="2">
                  <c:v>80.3</c:v>
                </c:pt>
                <c:pt idx="3">
                  <c:v>80.400000000000006</c:v>
                </c:pt>
                <c:pt idx="4">
                  <c:v>80.5</c:v>
                </c:pt>
                <c:pt idx="5">
                  <c:v>80.599999999999994</c:v>
                </c:pt>
                <c:pt idx="6">
                  <c:v>80.7</c:v>
                </c:pt>
                <c:pt idx="7">
                  <c:v>80.800000000000097</c:v>
                </c:pt>
                <c:pt idx="8">
                  <c:v>80.900000000000105</c:v>
                </c:pt>
                <c:pt idx="9">
                  <c:v>81.000000000000099</c:v>
                </c:pt>
                <c:pt idx="10">
                  <c:v>81.100000000000094</c:v>
                </c:pt>
                <c:pt idx="11">
                  <c:v>81.200000000000102</c:v>
                </c:pt>
                <c:pt idx="12">
                  <c:v>81.300000000000097</c:v>
                </c:pt>
                <c:pt idx="13">
                  <c:v>81.400000000000105</c:v>
                </c:pt>
                <c:pt idx="14">
                  <c:v>81.500000000000099</c:v>
                </c:pt>
                <c:pt idx="15">
                  <c:v>81.600000000000094</c:v>
                </c:pt>
                <c:pt idx="16">
                  <c:v>81.700000000000102</c:v>
                </c:pt>
                <c:pt idx="17">
                  <c:v>81.800000000000097</c:v>
                </c:pt>
                <c:pt idx="18">
                  <c:v>81.900000000000105</c:v>
                </c:pt>
                <c:pt idx="19">
                  <c:v>82.000000000000199</c:v>
                </c:pt>
                <c:pt idx="20">
                  <c:v>82.100000000000193</c:v>
                </c:pt>
                <c:pt idx="21">
                  <c:v>82.200000000000202</c:v>
                </c:pt>
                <c:pt idx="22">
                  <c:v>82.300000000000196</c:v>
                </c:pt>
                <c:pt idx="23">
                  <c:v>82.400000000000205</c:v>
                </c:pt>
                <c:pt idx="24">
                  <c:v>82.500000000000199</c:v>
                </c:pt>
                <c:pt idx="25">
                  <c:v>82.600000000000193</c:v>
                </c:pt>
                <c:pt idx="26">
                  <c:v>82.700000000000202</c:v>
                </c:pt>
                <c:pt idx="27">
                  <c:v>82.800000000000196</c:v>
                </c:pt>
                <c:pt idx="28">
                  <c:v>82.900000000000205</c:v>
                </c:pt>
                <c:pt idx="29">
                  <c:v>83.000000000000199</c:v>
                </c:pt>
                <c:pt idx="30">
                  <c:v>83.100000000000307</c:v>
                </c:pt>
                <c:pt idx="31">
                  <c:v>83.200000000000301</c:v>
                </c:pt>
                <c:pt idx="32">
                  <c:v>83.300000000000296</c:v>
                </c:pt>
                <c:pt idx="33">
                  <c:v>83.400000000000304</c:v>
                </c:pt>
                <c:pt idx="34">
                  <c:v>83.500000000000298</c:v>
                </c:pt>
                <c:pt idx="35">
                  <c:v>83.600000000000307</c:v>
                </c:pt>
                <c:pt idx="36">
                  <c:v>83.700000000000301</c:v>
                </c:pt>
                <c:pt idx="37">
                  <c:v>83.800000000000296</c:v>
                </c:pt>
                <c:pt idx="38">
                  <c:v>83.900000000000304</c:v>
                </c:pt>
                <c:pt idx="39">
                  <c:v>84.000000000000298</c:v>
                </c:pt>
                <c:pt idx="40">
                  <c:v>84.100000000000307</c:v>
                </c:pt>
                <c:pt idx="41">
                  <c:v>84.200000000000301</c:v>
                </c:pt>
                <c:pt idx="42">
                  <c:v>84.300000000000395</c:v>
                </c:pt>
                <c:pt idx="43">
                  <c:v>84.400000000000404</c:v>
                </c:pt>
                <c:pt idx="44">
                  <c:v>84.500000000000398</c:v>
                </c:pt>
                <c:pt idx="45">
                  <c:v>84.600000000000406</c:v>
                </c:pt>
                <c:pt idx="46">
                  <c:v>84.700000000000401</c:v>
                </c:pt>
                <c:pt idx="47">
                  <c:v>84.800000000000395</c:v>
                </c:pt>
                <c:pt idx="48">
                  <c:v>84.900000000000404</c:v>
                </c:pt>
                <c:pt idx="49">
                  <c:v>85.000000000000398</c:v>
                </c:pt>
                <c:pt idx="50">
                  <c:v>85.100000000000406</c:v>
                </c:pt>
                <c:pt idx="51">
                  <c:v>85.200000000000401</c:v>
                </c:pt>
                <c:pt idx="52">
                  <c:v>85.300000000000395</c:v>
                </c:pt>
                <c:pt idx="53">
                  <c:v>85.400000000000404</c:v>
                </c:pt>
                <c:pt idx="54">
                  <c:v>85.500000000000497</c:v>
                </c:pt>
                <c:pt idx="55">
                  <c:v>85.600000000000506</c:v>
                </c:pt>
                <c:pt idx="56">
                  <c:v>85.7000000000005</c:v>
                </c:pt>
                <c:pt idx="57">
                  <c:v>85.800000000000495</c:v>
                </c:pt>
                <c:pt idx="58">
                  <c:v>85.900000000000503</c:v>
                </c:pt>
                <c:pt idx="59">
                  <c:v>86.000000000000497</c:v>
                </c:pt>
                <c:pt idx="60">
                  <c:v>86.100000000000506</c:v>
                </c:pt>
                <c:pt idx="61">
                  <c:v>86.2000000000005</c:v>
                </c:pt>
                <c:pt idx="62">
                  <c:v>86.300000000000495</c:v>
                </c:pt>
                <c:pt idx="63">
                  <c:v>86.400000000000503</c:v>
                </c:pt>
                <c:pt idx="64">
                  <c:v>86.500000000000497</c:v>
                </c:pt>
                <c:pt idx="65">
                  <c:v>86.600000000000506</c:v>
                </c:pt>
                <c:pt idx="66">
                  <c:v>86.7000000000006</c:v>
                </c:pt>
                <c:pt idx="67">
                  <c:v>86.800000000000594</c:v>
                </c:pt>
                <c:pt idx="68">
                  <c:v>86.900000000000603</c:v>
                </c:pt>
                <c:pt idx="69">
                  <c:v>87.000000000000597</c:v>
                </c:pt>
                <c:pt idx="70">
                  <c:v>87.100000000000605</c:v>
                </c:pt>
                <c:pt idx="71">
                  <c:v>87.2000000000006</c:v>
                </c:pt>
                <c:pt idx="72">
                  <c:v>87.300000000000594</c:v>
                </c:pt>
                <c:pt idx="73">
                  <c:v>87.400000000000603</c:v>
                </c:pt>
                <c:pt idx="74">
                  <c:v>87.500000000000597</c:v>
                </c:pt>
                <c:pt idx="75">
                  <c:v>87.600000000000605</c:v>
                </c:pt>
                <c:pt idx="76">
                  <c:v>87.7000000000006</c:v>
                </c:pt>
                <c:pt idx="77">
                  <c:v>87.800000000000693</c:v>
                </c:pt>
                <c:pt idx="78">
                  <c:v>87.900000000000702</c:v>
                </c:pt>
                <c:pt idx="79">
                  <c:v>88.000000000000696</c:v>
                </c:pt>
                <c:pt idx="80">
                  <c:v>88.100000000000705</c:v>
                </c:pt>
                <c:pt idx="81">
                  <c:v>88.200000000000699</c:v>
                </c:pt>
                <c:pt idx="82">
                  <c:v>88.300000000000693</c:v>
                </c:pt>
                <c:pt idx="83">
                  <c:v>88.400000000000702</c:v>
                </c:pt>
                <c:pt idx="84">
                  <c:v>88.500000000000696</c:v>
                </c:pt>
                <c:pt idx="85">
                  <c:v>88.600000000000705</c:v>
                </c:pt>
                <c:pt idx="86">
                  <c:v>88.700000000000699</c:v>
                </c:pt>
                <c:pt idx="87">
                  <c:v>88.800000000000693</c:v>
                </c:pt>
                <c:pt idx="88">
                  <c:v>88.900000000000702</c:v>
                </c:pt>
                <c:pt idx="89">
                  <c:v>89.000000000000796</c:v>
                </c:pt>
                <c:pt idx="90">
                  <c:v>89.100000000000804</c:v>
                </c:pt>
                <c:pt idx="91">
                  <c:v>89.200000000000799</c:v>
                </c:pt>
                <c:pt idx="92">
                  <c:v>89.300000000000793</c:v>
                </c:pt>
                <c:pt idx="93">
                  <c:v>89.400000000000801</c:v>
                </c:pt>
                <c:pt idx="94">
                  <c:v>89.500000000000796</c:v>
                </c:pt>
                <c:pt idx="95">
                  <c:v>89.600000000000804</c:v>
                </c:pt>
                <c:pt idx="96">
                  <c:v>89.700000000000799</c:v>
                </c:pt>
                <c:pt idx="97">
                  <c:v>89.800000000000793</c:v>
                </c:pt>
                <c:pt idx="98">
                  <c:v>89.900000000000801</c:v>
                </c:pt>
                <c:pt idx="99">
                  <c:v>90.000000000000796</c:v>
                </c:pt>
                <c:pt idx="100">
                  <c:v>90.100000000000904</c:v>
                </c:pt>
                <c:pt idx="101">
                  <c:v>90.200000000000898</c:v>
                </c:pt>
                <c:pt idx="102">
                  <c:v>90.300000000000907</c:v>
                </c:pt>
                <c:pt idx="103">
                  <c:v>90.400000000000901</c:v>
                </c:pt>
                <c:pt idx="104">
                  <c:v>90.500000000000895</c:v>
                </c:pt>
                <c:pt idx="105">
                  <c:v>90.600000000000904</c:v>
                </c:pt>
                <c:pt idx="106">
                  <c:v>90.700000000000898</c:v>
                </c:pt>
                <c:pt idx="107">
                  <c:v>90.800000000000907</c:v>
                </c:pt>
                <c:pt idx="108">
                  <c:v>90.900000000000901</c:v>
                </c:pt>
                <c:pt idx="109">
                  <c:v>91.000000000000895</c:v>
                </c:pt>
                <c:pt idx="110">
                  <c:v>91.100000000000904</c:v>
                </c:pt>
                <c:pt idx="111">
                  <c:v>91.200000000000898</c:v>
                </c:pt>
                <c:pt idx="112">
                  <c:v>91.300000000001006</c:v>
                </c:pt>
                <c:pt idx="113">
                  <c:v>91.400000000001</c:v>
                </c:pt>
                <c:pt idx="114">
                  <c:v>91.500000000000995</c:v>
                </c:pt>
                <c:pt idx="115">
                  <c:v>91.600000000001003</c:v>
                </c:pt>
                <c:pt idx="116">
                  <c:v>91.700000000000998</c:v>
                </c:pt>
                <c:pt idx="117">
                  <c:v>91.800000000001006</c:v>
                </c:pt>
                <c:pt idx="118">
                  <c:v>91.900000000001</c:v>
                </c:pt>
                <c:pt idx="119">
                  <c:v>92.000000000000995</c:v>
                </c:pt>
              </c:numCache>
            </c:numRef>
          </c:xVal>
          <c:yVal>
            <c:numRef>
              <c:f>'digital call'!$L$3:$L$122</c:f>
              <c:numCache>
                <c:formatCode>0.0</c:formatCode>
                <c:ptCount val="1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6A-44BA-B6E7-2AF0340338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3492240"/>
        <c:axId val="516072384"/>
      </c:scatterChart>
      <c:valAx>
        <c:axId val="713492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S(T)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072384"/>
        <c:crosses val="autoZero"/>
        <c:crossBetween val="midCat"/>
      </c:valAx>
      <c:valAx>
        <c:axId val="516072384"/>
        <c:scaling>
          <c:orientation val="minMax"/>
          <c:max val="1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4922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Butterfly spread</a:t>
            </a:r>
            <a:r>
              <a:rPr lang="en-SG" baseline="0"/>
              <a:t> using call options</a:t>
            </a:r>
            <a:endParaRPr lang="en-SG"/>
          </a:p>
        </c:rich>
      </c:tx>
      <c:layout>
        <c:manualLayout>
          <c:xMode val="edge"/>
          <c:yMode val="edge"/>
          <c:x val="0.30039284388121373"/>
          <c:y val="2.80000000000000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butterfly!$F$2</c:f>
              <c:strCache>
                <c:ptCount val="1"/>
                <c:pt idx="0">
                  <c:v>long call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butterfly!$E$3:$E$19</c:f>
              <c:numCache>
                <c:formatCode>General</c:formatCode>
                <c:ptCount val="17"/>
                <c:pt idx="0">
                  <c:v>70</c:v>
                </c:pt>
                <c:pt idx="1">
                  <c:v>75</c:v>
                </c:pt>
                <c:pt idx="2">
                  <c:v>80</c:v>
                </c:pt>
                <c:pt idx="3">
                  <c:v>85</c:v>
                </c:pt>
                <c:pt idx="4">
                  <c:v>90</c:v>
                </c:pt>
                <c:pt idx="5">
                  <c:v>95</c:v>
                </c:pt>
                <c:pt idx="6">
                  <c:v>100</c:v>
                </c:pt>
                <c:pt idx="7">
                  <c:v>105</c:v>
                </c:pt>
                <c:pt idx="8">
                  <c:v>110</c:v>
                </c:pt>
                <c:pt idx="9">
                  <c:v>115</c:v>
                </c:pt>
                <c:pt idx="10">
                  <c:v>120</c:v>
                </c:pt>
                <c:pt idx="11">
                  <c:v>125</c:v>
                </c:pt>
                <c:pt idx="12">
                  <c:v>130</c:v>
                </c:pt>
                <c:pt idx="13">
                  <c:v>135</c:v>
                </c:pt>
                <c:pt idx="14">
                  <c:v>140</c:v>
                </c:pt>
                <c:pt idx="15">
                  <c:v>145</c:v>
                </c:pt>
                <c:pt idx="16">
                  <c:v>150</c:v>
                </c:pt>
              </c:numCache>
            </c:numRef>
          </c:xVal>
          <c:yVal>
            <c:numRef>
              <c:f>butterfly!$F$3:$F$19</c:f>
              <c:numCache>
                <c:formatCode>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  <c:pt idx="9">
                  <c:v>25</c:v>
                </c:pt>
                <c:pt idx="10">
                  <c:v>30</c:v>
                </c:pt>
                <c:pt idx="11">
                  <c:v>35</c:v>
                </c:pt>
                <c:pt idx="12">
                  <c:v>40</c:v>
                </c:pt>
                <c:pt idx="13">
                  <c:v>45</c:v>
                </c:pt>
                <c:pt idx="14">
                  <c:v>50</c:v>
                </c:pt>
                <c:pt idx="15">
                  <c:v>55</c:v>
                </c:pt>
                <c:pt idx="16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2A-4894-8C8C-39E3CAADEB20}"/>
            </c:ext>
          </c:extLst>
        </c:ser>
        <c:ser>
          <c:idx val="1"/>
          <c:order val="1"/>
          <c:tx>
            <c:strRef>
              <c:f>butterfly!$G$2</c:f>
              <c:strCache>
                <c:ptCount val="1"/>
                <c:pt idx="0">
                  <c:v>short 2 calls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butterfly!$E$3:$E$19</c:f>
              <c:numCache>
                <c:formatCode>General</c:formatCode>
                <c:ptCount val="17"/>
                <c:pt idx="0">
                  <c:v>70</c:v>
                </c:pt>
                <c:pt idx="1">
                  <c:v>75</c:v>
                </c:pt>
                <c:pt idx="2">
                  <c:v>80</c:v>
                </c:pt>
                <c:pt idx="3">
                  <c:v>85</c:v>
                </c:pt>
                <c:pt idx="4">
                  <c:v>90</c:v>
                </c:pt>
                <c:pt idx="5">
                  <c:v>95</c:v>
                </c:pt>
                <c:pt idx="6">
                  <c:v>100</c:v>
                </c:pt>
                <c:pt idx="7">
                  <c:v>105</c:v>
                </c:pt>
                <c:pt idx="8">
                  <c:v>110</c:v>
                </c:pt>
                <c:pt idx="9">
                  <c:v>115</c:v>
                </c:pt>
                <c:pt idx="10">
                  <c:v>120</c:v>
                </c:pt>
                <c:pt idx="11">
                  <c:v>125</c:v>
                </c:pt>
                <c:pt idx="12">
                  <c:v>130</c:v>
                </c:pt>
                <c:pt idx="13">
                  <c:v>135</c:v>
                </c:pt>
                <c:pt idx="14">
                  <c:v>140</c:v>
                </c:pt>
                <c:pt idx="15">
                  <c:v>145</c:v>
                </c:pt>
                <c:pt idx="16">
                  <c:v>150</c:v>
                </c:pt>
              </c:numCache>
            </c:numRef>
          </c:xVal>
          <c:yVal>
            <c:numRef>
              <c:f>butterfly!$G$3:$G$19</c:f>
              <c:numCache>
                <c:formatCode>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-10</c:v>
                </c:pt>
                <c:pt idx="8">
                  <c:v>-20</c:v>
                </c:pt>
                <c:pt idx="9">
                  <c:v>-30</c:v>
                </c:pt>
                <c:pt idx="10">
                  <c:v>-40</c:v>
                </c:pt>
                <c:pt idx="11">
                  <c:v>-50</c:v>
                </c:pt>
                <c:pt idx="12">
                  <c:v>-60</c:v>
                </c:pt>
                <c:pt idx="13">
                  <c:v>-70</c:v>
                </c:pt>
                <c:pt idx="14">
                  <c:v>-80</c:v>
                </c:pt>
                <c:pt idx="15">
                  <c:v>-90</c:v>
                </c:pt>
                <c:pt idx="16">
                  <c:v>-100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F2A-4894-8C8C-39E3CAADEB20}"/>
            </c:ext>
          </c:extLst>
        </c:ser>
        <c:ser>
          <c:idx val="3"/>
          <c:order val="2"/>
          <c:tx>
            <c:strRef>
              <c:f>butterfly!$H$2</c:f>
              <c:strCache>
                <c:ptCount val="1"/>
                <c:pt idx="0">
                  <c:v>long call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butterfly!$E$3:$E$19</c:f>
              <c:numCache>
                <c:formatCode>General</c:formatCode>
                <c:ptCount val="17"/>
                <c:pt idx="0">
                  <c:v>70</c:v>
                </c:pt>
                <c:pt idx="1">
                  <c:v>75</c:v>
                </c:pt>
                <c:pt idx="2">
                  <c:v>80</c:v>
                </c:pt>
                <c:pt idx="3">
                  <c:v>85</c:v>
                </c:pt>
                <c:pt idx="4">
                  <c:v>90</c:v>
                </c:pt>
                <c:pt idx="5">
                  <c:v>95</c:v>
                </c:pt>
                <c:pt idx="6">
                  <c:v>100</c:v>
                </c:pt>
                <c:pt idx="7">
                  <c:v>105</c:v>
                </c:pt>
                <c:pt idx="8">
                  <c:v>110</c:v>
                </c:pt>
                <c:pt idx="9">
                  <c:v>115</c:v>
                </c:pt>
                <c:pt idx="10">
                  <c:v>120</c:v>
                </c:pt>
                <c:pt idx="11">
                  <c:v>125</c:v>
                </c:pt>
                <c:pt idx="12">
                  <c:v>130</c:v>
                </c:pt>
                <c:pt idx="13">
                  <c:v>135</c:v>
                </c:pt>
                <c:pt idx="14">
                  <c:v>140</c:v>
                </c:pt>
                <c:pt idx="15">
                  <c:v>145</c:v>
                </c:pt>
                <c:pt idx="16">
                  <c:v>150</c:v>
                </c:pt>
              </c:numCache>
            </c:numRef>
          </c:xVal>
          <c:yVal>
            <c:numRef>
              <c:f>butterfly!$H$3:$H$19</c:f>
              <c:numCache>
                <c:formatCode>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10</c:v>
                </c:pt>
                <c:pt idx="11">
                  <c:v>15</c:v>
                </c:pt>
                <c:pt idx="12">
                  <c:v>20</c:v>
                </c:pt>
                <c:pt idx="13">
                  <c:v>25</c:v>
                </c:pt>
                <c:pt idx="14">
                  <c:v>30</c:v>
                </c:pt>
                <c:pt idx="15">
                  <c:v>35</c:v>
                </c:pt>
                <c:pt idx="16">
                  <c:v>40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F2A-4894-8C8C-39E3CAADEB20}"/>
            </c:ext>
          </c:extLst>
        </c:ser>
        <c:ser>
          <c:idx val="2"/>
          <c:order val="3"/>
          <c:tx>
            <c:strRef>
              <c:f>butterfly!$I$2</c:f>
              <c:strCache>
                <c:ptCount val="1"/>
                <c:pt idx="0">
                  <c:v>butterfly spread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butterfly!$E$3:$E$19</c:f>
              <c:numCache>
                <c:formatCode>General</c:formatCode>
                <c:ptCount val="17"/>
                <c:pt idx="0">
                  <c:v>70</c:v>
                </c:pt>
                <c:pt idx="1">
                  <c:v>75</c:v>
                </c:pt>
                <c:pt idx="2">
                  <c:v>80</c:v>
                </c:pt>
                <c:pt idx="3">
                  <c:v>85</c:v>
                </c:pt>
                <c:pt idx="4">
                  <c:v>90</c:v>
                </c:pt>
                <c:pt idx="5">
                  <c:v>95</c:v>
                </c:pt>
                <c:pt idx="6">
                  <c:v>100</c:v>
                </c:pt>
                <c:pt idx="7">
                  <c:v>105</c:v>
                </c:pt>
                <c:pt idx="8">
                  <c:v>110</c:v>
                </c:pt>
                <c:pt idx="9">
                  <c:v>115</c:v>
                </c:pt>
                <c:pt idx="10">
                  <c:v>120</c:v>
                </c:pt>
                <c:pt idx="11">
                  <c:v>125</c:v>
                </c:pt>
                <c:pt idx="12">
                  <c:v>130</c:v>
                </c:pt>
                <c:pt idx="13">
                  <c:v>135</c:v>
                </c:pt>
                <c:pt idx="14">
                  <c:v>140</c:v>
                </c:pt>
                <c:pt idx="15">
                  <c:v>145</c:v>
                </c:pt>
                <c:pt idx="16">
                  <c:v>150</c:v>
                </c:pt>
              </c:numCache>
            </c:numRef>
          </c:xVal>
          <c:yVal>
            <c:numRef>
              <c:f>butterfly!$I$3:$I$19</c:f>
              <c:numCache>
                <c:formatCode>0.0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</c:v>
                </c:pt>
                <c:pt idx="6">
                  <c:v>10</c:v>
                </c:pt>
                <c:pt idx="7">
                  <c:v>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F2A-4894-8C8C-39E3CAADEB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3492240"/>
        <c:axId val="516072384"/>
      </c:scatterChart>
      <c:valAx>
        <c:axId val="713492240"/>
        <c:scaling>
          <c:orientation val="minMax"/>
          <c:max val="130"/>
          <c:min val="7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S(T)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072384"/>
        <c:crosses val="autoZero"/>
        <c:crossBetween val="midCat"/>
      </c:valAx>
      <c:valAx>
        <c:axId val="516072384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4922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Butterfly spread</a:t>
            </a:r>
            <a:r>
              <a:rPr lang="en-SG" baseline="0"/>
              <a:t> using put options</a:t>
            </a:r>
            <a:endParaRPr lang="en-SG"/>
          </a:p>
        </c:rich>
      </c:tx>
      <c:layout>
        <c:manualLayout>
          <c:xMode val="edge"/>
          <c:yMode val="edge"/>
          <c:x val="0.30039284388121373"/>
          <c:y val="2.80000000000000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butterfly!$F$23</c:f>
              <c:strCache>
                <c:ptCount val="1"/>
                <c:pt idx="0">
                  <c:v>long put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butterfly!$E$3:$E$19</c:f>
              <c:numCache>
                <c:formatCode>General</c:formatCode>
                <c:ptCount val="17"/>
                <c:pt idx="0">
                  <c:v>70</c:v>
                </c:pt>
                <c:pt idx="1">
                  <c:v>75</c:v>
                </c:pt>
                <c:pt idx="2">
                  <c:v>80</c:v>
                </c:pt>
                <c:pt idx="3">
                  <c:v>85</c:v>
                </c:pt>
                <c:pt idx="4">
                  <c:v>90</c:v>
                </c:pt>
                <c:pt idx="5">
                  <c:v>95</c:v>
                </c:pt>
                <c:pt idx="6">
                  <c:v>100</c:v>
                </c:pt>
                <c:pt idx="7">
                  <c:v>105</c:v>
                </c:pt>
                <c:pt idx="8">
                  <c:v>110</c:v>
                </c:pt>
                <c:pt idx="9">
                  <c:v>115</c:v>
                </c:pt>
                <c:pt idx="10">
                  <c:v>120</c:v>
                </c:pt>
                <c:pt idx="11">
                  <c:v>125</c:v>
                </c:pt>
                <c:pt idx="12">
                  <c:v>130</c:v>
                </c:pt>
                <c:pt idx="13">
                  <c:v>135</c:v>
                </c:pt>
                <c:pt idx="14">
                  <c:v>140</c:v>
                </c:pt>
                <c:pt idx="15">
                  <c:v>145</c:v>
                </c:pt>
                <c:pt idx="16">
                  <c:v>150</c:v>
                </c:pt>
              </c:numCache>
            </c:numRef>
          </c:xVal>
          <c:yVal>
            <c:numRef>
              <c:f>butterfly!$F$24:$F$40</c:f>
              <c:numCache>
                <c:formatCode>0</c:formatCode>
                <c:ptCount val="17"/>
                <c:pt idx="0">
                  <c:v>20</c:v>
                </c:pt>
                <c:pt idx="1">
                  <c:v>15</c:v>
                </c:pt>
                <c:pt idx="2">
                  <c:v>10</c:v>
                </c:pt>
                <c:pt idx="3">
                  <c:v>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E8-4FB5-9FFB-2CD166015CB1}"/>
            </c:ext>
          </c:extLst>
        </c:ser>
        <c:ser>
          <c:idx val="1"/>
          <c:order val="1"/>
          <c:tx>
            <c:strRef>
              <c:f>butterfly!$G$23</c:f>
              <c:strCache>
                <c:ptCount val="1"/>
                <c:pt idx="0">
                  <c:v>short 2 puts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butterfly!$E$3:$E$19</c:f>
              <c:numCache>
                <c:formatCode>General</c:formatCode>
                <c:ptCount val="17"/>
                <c:pt idx="0">
                  <c:v>70</c:v>
                </c:pt>
                <c:pt idx="1">
                  <c:v>75</c:v>
                </c:pt>
                <c:pt idx="2">
                  <c:v>80</c:v>
                </c:pt>
                <c:pt idx="3">
                  <c:v>85</c:v>
                </c:pt>
                <c:pt idx="4">
                  <c:v>90</c:v>
                </c:pt>
                <c:pt idx="5">
                  <c:v>95</c:v>
                </c:pt>
                <c:pt idx="6">
                  <c:v>100</c:v>
                </c:pt>
                <c:pt idx="7">
                  <c:v>105</c:v>
                </c:pt>
                <c:pt idx="8">
                  <c:v>110</c:v>
                </c:pt>
                <c:pt idx="9">
                  <c:v>115</c:v>
                </c:pt>
                <c:pt idx="10">
                  <c:v>120</c:v>
                </c:pt>
                <c:pt idx="11">
                  <c:v>125</c:v>
                </c:pt>
                <c:pt idx="12">
                  <c:v>130</c:v>
                </c:pt>
                <c:pt idx="13">
                  <c:v>135</c:v>
                </c:pt>
                <c:pt idx="14">
                  <c:v>140</c:v>
                </c:pt>
                <c:pt idx="15">
                  <c:v>145</c:v>
                </c:pt>
                <c:pt idx="16">
                  <c:v>150</c:v>
                </c:pt>
              </c:numCache>
            </c:numRef>
          </c:xVal>
          <c:yVal>
            <c:numRef>
              <c:f>butterfly!$G$24:$G$40</c:f>
              <c:numCache>
                <c:formatCode>0</c:formatCode>
                <c:ptCount val="17"/>
                <c:pt idx="0">
                  <c:v>-60</c:v>
                </c:pt>
                <c:pt idx="1">
                  <c:v>-50</c:v>
                </c:pt>
                <c:pt idx="2">
                  <c:v>-40</c:v>
                </c:pt>
                <c:pt idx="3">
                  <c:v>-30</c:v>
                </c:pt>
                <c:pt idx="4">
                  <c:v>-20</c:v>
                </c:pt>
                <c:pt idx="5">
                  <c:v>-10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5E8-4FB5-9FFB-2CD166015CB1}"/>
            </c:ext>
          </c:extLst>
        </c:ser>
        <c:ser>
          <c:idx val="3"/>
          <c:order val="2"/>
          <c:tx>
            <c:strRef>
              <c:f>butterfly!$H$23</c:f>
              <c:strCache>
                <c:ptCount val="1"/>
                <c:pt idx="0">
                  <c:v>long put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butterfly!$E$3:$E$19</c:f>
              <c:numCache>
                <c:formatCode>General</c:formatCode>
                <c:ptCount val="17"/>
                <c:pt idx="0">
                  <c:v>70</c:v>
                </c:pt>
                <c:pt idx="1">
                  <c:v>75</c:v>
                </c:pt>
                <c:pt idx="2">
                  <c:v>80</c:v>
                </c:pt>
                <c:pt idx="3">
                  <c:v>85</c:v>
                </c:pt>
                <c:pt idx="4">
                  <c:v>90</c:v>
                </c:pt>
                <c:pt idx="5">
                  <c:v>95</c:v>
                </c:pt>
                <c:pt idx="6">
                  <c:v>100</c:v>
                </c:pt>
                <c:pt idx="7">
                  <c:v>105</c:v>
                </c:pt>
                <c:pt idx="8">
                  <c:v>110</c:v>
                </c:pt>
                <c:pt idx="9">
                  <c:v>115</c:v>
                </c:pt>
                <c:pt idx="10">
                  <c:v>120</c:v>
                </c:pt>
                <c:pt idx="11">
                  <c:v>125</c:v>
                </c:pt>
                <c:pt idx="12">
                  <c:v>130</c:v>
                </c:pt>
                <c:pt idx="13">
                  <c:v>135</c:v>
                </c:pt>
                <c:pt idx="14">
                  <c:v>140</c:v>
                </c:pt>
                <c:pt idx="15">
                  <c:v>145</c:v>
                </c:pt>
                <c:pt idx="16">
                  <c:v>150</c:v>
                </c:pt>
              </c:numCache>
            </c:numRef>
          </c:xVal>
          <c:yVal>
            <c:numRef>
              <c:f>butterfly!$H$24:$H$40</c:f>
              <c:numCache>
                <c:formatCode>0</c:formatCode>
                <c:ptCount val="17"/>
                <c:pt idx="0">
                  <c:v>40</c:v>
                </c:pt>
                <c:pt idx="1">
                  <c:v>35</c:v>
                </c:pt>
                <c:pt idx="2">
                  <c:v>30</c:v>
                </c:pt>
                <c:pt idx="3">
                  <c:v>25</c:v>
                </c:pt>
                <c:pt idx="4">
                  <c:v>20</c:v>
                </c:pt>
                <c:pt idx="5">
                  <c:v>15</c:v>
                </c:pt>
                <c:pt idx="6">
                  <c:v>10</c:v>
                </c:pt>
                <c:pt idx="7">
                  <c:v>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5E8-4FB5-9FFB-2CD166015CB1}"/>
            </c:ext>
          </c:extLst>
        </c:ser>
        <c:ser>
          <c:idx val="2"/>
          <c:order val="3"/>
          <c:tx>
            <c:strRef>
              <c:f>butterfly!$I$23</c:f>
              <c:strCache>
                <c:ptCount val="1"/>
                <c:pt idx="0">
                  <c:v>butterfly spread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butterfly!$E$3:$E$19</c:f>
              <c:numCache>
                <c:formatCode>General</c:formatCode>
                <c:ptCount val="17"/>
                <c:pt idx="0">
                  <c:v>70</c:v>
                </c:pt>
                <c:pt idx="1">
                  <c:v>75</c:v>
                </c:pt>
                <c:pt idx="2">
                  <c:v>80</c:v>
                </c:pt>
                <c:pt idx="3">
                  <c:v>85</c:v>
                </c:pt>
                <c:pt idx="4">
                  <c:v>90</c:v>
                </c:pt>
                <c:pt idx="5">
                  <c:v>95</c:v>
                </c:pt>
                <c:pt idx="6">
                  <c:v>100</c:v>
                </c:pt>
                <c:pt idx="7">
                  <c:v>105</c:v>
                </c:pt>
                <c:pt idx="8">
                  <c:v>110</c:v>
                </c:pt>
                <c:pt idx="9">
                  <c:v>115</c:v>
                </c:pt>
                <c:pt idx="10">
                  <c:v>120</c:v>
                </c:pt>
                <c:pt idx="11">
                  <c:v>125</c:v>
                </c:pt>
                <c:pt idx="12">
                  <c:v>130</c:v>
                </c:pt>
                <c:pt idx="13">
                  <c:v>135</c:v>
                </c:pt>
                <c:pt idx="14">
                  <c:v>140</c:v>
                </c:pt>
                <c:pt idx="15">
                  <c:v>145</c:v>
                </c:pt>
                <c:pt idx="16">
                  <c:v>150</c:v>
                </c:pt>
              </c:numCache>
            </c:numRef>
          </c:xVal>
          <c:yVal>
            <c:numRef>
              <c:f>butterfly!$I$24:$I$40</c:f>
              <c:numCache>
                <c:formatCode>0.0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</c:v>
                </c:pt>
                <c:pt idx="6">
                  <c:v>10</c:v>
                </c:pt>
                <c:pt idx="7">
                  <c:v>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5E8-4FB5-9FFB-2CD166015C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3492240"/>
        <c:axId val="516072384"/>
      </c:scatterChart>
      <c:valAx>
        <c:axId val="713492240"/>
        <c:scaling>
          <c:orientation val="minMax"/>
          <c:max val="130"/>
          <c:min val="7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S(T)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072384"/>
        <c:crosses val="autoZero"/>
        <c:crossBetween val="midCat"/>
      </c:valAx>
      <c:valAx>
        <c:axId val="516072384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4922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Condor spread</a:t>
            </a:r>
            <a:r>
              <a:rPr lang="en-SG" baseline="0"/>
              <a:t> using call options</a:t>
            </a:r>
            <a:endParaRPr lang="en-SG"/>
          </a:p>
        </c:rich>
      </c:tx>
      <c:layout>
        <c:manualLayout>
          <c:xMode val="edge"/>
          <c:yMode val="edge"/>
          <c:x val="0.30039284388121373"/>
          <c:y val="2.80000000000000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condor!$F$2</c:f>
              <c:strCache>
                <c:ptCount val="1"/>
                <c:pt idx="0">
                  <c:v>long call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condor!$E$3:$E$19</c:f>
              <c:numCache>
                <c:formatCode>General</c:formatCode>
                <c:ptCount val="17"/>
                <c:pt idx="0">
                  <c:v>70</c:v>
                </c:pt>
                <c:pt idx="1">
                  <c:v>75</c:v>
                </c:pt>
                <c:pt idx="2">
                  <c:v>80</c:v>
                </c:pt>
                <c:pt idx="3">
                  <c:v>85</c:v>
                </c:pt>
                <c:pt idx="4">
                  <c:v>90</c:v>
                </c:pt>
                <c:pt idx="5">
                  <c:v>95</c:v>
                </c:pt>
                <c:pt idx="6">
                  <c:v>100</c:v>
                </c:pt>
                <c:pt idx="7">
                  <c:v>105</c:v>
                </c:pt>
                <c:pt idx="8">
                  <c:v>110</c:v>
                </c:pt>
                <c:pt idx="9">
                  <c:v>115</c:v>
                </c:pt>
                <c:pt idx="10">
                  <c:v>120</c:v>
                </c:pt>
                <c:pt idx="11">
                  <c:v>125</c:v>
                </c:pt>
                <c:pt idx="12">
                  <c:v>130</c:v>
                </c:pt>
                <c:pt idx="13">
                  <c:v>135</c:v>
                </c:pt>
                <c:pt idx="14">
                  <c:v>140</c:v>
                </c:pt>
                <c:pt idx="15">
                  <c:v>145</c:v>
                </c:pt>
                <c:pt idx="16">
                  <c:v>150</c:v>
                </c:pt>
              </c:numCache>
            </c:numRef>
          </c:xVal>
          <c:yVal>
            <c:numRef>
              <c:f>condor!$F$3:$F$19</c:f>
              <c:numCache>
                <c:formatCode>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  <c:pt idx="9">
                  <c:v>25</c:v>
                </c:pt>
                <c:pt idx="10">
                  <c:v>30</c:v>
                </c:pt>
                <c:pt idx="11">
                  <c:v>35</c:v>
                </c:pt>
                <c:pt idx="12">
                  <c:v>40</c:v>
                </c:pt>
                <c:pt idx="13">
                  <c:v>45</c:v>
                </c:pt>
                <c:pt idx="14">
                  <c:v>50</c:v>
                </c:pt>
                <c:pt idx="15">
                  <c:v>55</c:v>
                </c:pt>
                <c:pt idx="16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B3-451E-BCDB-6D2B076A028E}"/>
            </c:ext>
          </c:extLst>
        </c:ser>
        <c:ser>
          <c:idx val="1"/>
          <c:order val="1"/>
          <c:tx>
            <c:strRef>
              <c:f>condor!$G$2</c:f>
              <c:strCache>
                <c:ptCount val="1"/>
                <c:pt idx="0">
                  <c:v>short call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condor!$E$3:$E$19</c:f>
              <c:numCache>
                <c:formatCode>General</c:formatCode>
                <c:ptCount val="17"/>
                <c:pt idx="0">
                  <c:v>70</c:v>
                </c:pt>
                <c:pt idx="1">
                  <c:v>75</c:v>
                </c:pt>
                <c:pt idx="2">
                  <c:v>80</c:v>
                </c:pt>
                <c:pt idx="3">
                  <c:v>85</c:v>
                </c:pt>
                <c:pt idx="4">
                  <c:v>90</c:v>
                </c:pt>
                <c:pt idx="5">
                  <c:v>95</c:v>
                </c:pt>
                <c:pt idx="6">
                  <c:v>100</c:v>
                </c:pt>
                <c:pt idx="7">
                  <c:v>105</c:v>
                </c:pt>
                <c:pt idx="8">
                  <c:v>110</c:v>
                </c:pt>
                <c:pt idx="9">
                  <c:v>115</c:v>
                </c:pt>
                <c:pt idx="10">
                  <c:v>120</c:v>
                </c:pt>
                <c:pt idx="11">
                  <c:v>125</c:v>
                </c:pt>
                <c:pt idx="12">
                  <c:v>130</c:v>
                </c:pt>
                <c:pt idx="13">
                  <c:v>135</c:v>
                </c:pt>
                <c:pt idx="14">
                  <c:v>140</c:v>
                </c:pt>
                <c:pt idx="15">
                  <c:v>145</c:v>
                </c:pt>
                <c:pt idx="16">
                  <c:v>150</c:v>
                </c:pt>
              </c:numCache>
            </c:numRef>
          </c:xVal>
          <c:yVal>
            <c:numRef>
              <c:f>condor!$G$3:$G$19</c:f>
              <c:numCache>
                <c:formatCode>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-5</c:v>
                </c:pt>
                <c:pt idx="8">
                  <c:v>-10</c:v>
                </c:pt>
                <c:pt idx="9">
                  <c:v>-15</c:v>
                </c:pt>
                <c:pt idx="10">
                  <c:v>-20</c:v>
                </c:pt>
                <c:pt idx="11">
                  <c:v>-25</c:v>
                </c:pt>
                <c:pt idx="12">
                  <c:v>-30</c:v>
                </c:pt>
                <c:pt idx="13">
                  <c:v>-35</c:v>
                </c:pt>
                <c:pt idx="14">
                  <c:v>-40</c:v>
                </c:pt>
                <c:pt idx="15">
                  <c:v>-45</c:v>
                </c:pt>
                <c:pt idx="16">
                  <c:v>-50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B3-451E-BCDB-6D2B076A028E}"/>
            </c:ext>
          </c:extLst>
        </c:ser>
        <c:ser>
          <c:idx val="3"/>
          <c:order val="2"/>
          <c:tx>
            <c:strRef>
              <c:f>condor!$H$2</c:f>
              <c:strCache>
                <c:ptCount val="1"/>
                <c:pt idx="0">
                  <c:v>short call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condor!$E$3:$E$19</c:f>
              <c:numCache>
                <c:formatCode>General</c:formatCode>
                <c:ptCount val="17"/>
                <c:pt idx="0">
                  <c:v>70</c:v>
                </c:pt>
                <c:pt idx="1">
                  <c:v>75</c:v>
                </c:pt>
                <c:pt idx="2">
                  <c:v>80</c:v>
                </c:pt>
                <c:pt idx="3">
                  <c:v>85</c:v>
                </c:pt>
                <c:pt idx="4">
                  <c:v>90</c:v>
                </c:pt>
                <c:pt idx="5">
                  <c:v>95</c:v>
                </c:pt>
                <c:pt idx="6">
                  <c:v>100</c:v>
                </c:pt>
                <c:pt idx="7">
                  <c:v>105</c:v>
                </c:pt>
                <c:pt idx="8">
                  <c:v>110</c:v>
                </c:pt>
                <c:pt idx="9">
                  <c:v>115</c:v>
                </c:pt>
                <c:pt idx="10">
                  <c:v>120</c:v>
                </c:pt>
                <c:pt idx="11">
                  <c:v>125</c:v>
                </c:pt>
                <c:pt idx="12">
                  <c:v>130</c:v>
                </c:pt>
                <c:pt idx="13">
                  <c:v>135</c:v>
                </c:pt>
                <c:pt idx="14">
                  <c:v>140</c:v>
                </c:pt>
                <c:pt idx="15">
                  <c:v>145</c:v>
                </c:pt>
                <c:pt idx="16">
                  <c:v>150</c:v>
                </c:pt>
              </c:numCache>
            </c:numRef>
          </c:xVal>
          <c:yVal>
            <c:numRef>
              <c:f>condor!$H$3:$H$19</c:f>
              <c:numCache>
                <c:formatCode>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-5</c:v>
                </c:pt>
                <c:pt idx="10">
                  <c:v>-10</c:v>
                </c:pt>
                <c:pt idx="11">
                  <c:v>-15</c:v>
                </c:pt>
                <c:pt idx="12">
                  <c:v>-20</c:v>
                </c:pt>
                <c:pt idx="13">
                  <c:v>-25</c:v>
                </c:pt>
                <c:pt idx="14">
                  <c:v>-30</c:v>
                </c:pt>
                <c:pt idx="15">
                  <c:v>-35</c:v>
                </c:pt>
                <c:pt idx="16">
                  <c:v>-40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B3-451E-BCDB-6D2B076A028E}"/>
            </c:ext>
          </c:extLst>
        </c:ser>
        <c:ser>
          <c:idx val="4"/>
          <c:order val="3"/>
          <c:tx>
            <c:strRef>
              <c:f>condor!$I$2</c:f>
              <c:strCache>
                <c:ptCount val="1"/>
                <c:pt idx="0">
                  <c:v>long call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condor!$E$3:$E$19</c:f>
              <c:numCache>
                <c:formatCode>General</c:formatCode>
                <c:ptCount val="17"/>
                <c:pt idx="0">
                  <c:v>70</c:v>
                </c:pt>
                <c:pt idx="1">
                  <c:v>75</c:v>
                </c:pt>
                <c:pt idx="2">
                  <c:v>80</c:v>
                </c:pt>
                <c:pt idx="3">
                  <c:v>85</c:v>
                </c:pt>
                <c:pt idx="4">
                  <c:v>90</c:v>
                </c:pt>
                <c:pt idx="5">
                  <c:v>95</c:v>
                </c:pt>
                <c:pt idx="6">
                  <c:v>100</c:v>
                </c:pt>
                <c:pt idx="7">
                  <c:v>105</c:v>
                </c:pt>
                <c:pt idx="8">
                  <c:v>110</c:v>
                </c:pt>
                <c:pt idx="9">
                  <c:v>115</c:v>
                </c:pt>
                <c:pt idx="10">
                  <c:v>120</c:v>
                </c:pt>
                <c:pt idx="11">
                  <c:v>125</c:v>
                </c:pt>
                <c:pt idx="12">
                  <c:v>130</c:v>
                </c:pt>
                <c:pt idx="13">
                  <c:v>135</c:v>
                </c:pt>
                <c:pt idx="14">
                  <c:v>140</c:v>
                </c:pt>
                <c:pt idx="15">
                  <c:v>145</c:v>
                </c:pt>
                <c:pt idx="16">
                  <c:v>150</c:v>
                </c:pt>
              </c:numCache>
            </c:numRef>
          </c:xVal>
          <c:yVal>
            <c:numRef>
              <c:f>condor!$I$3:$I$19</c:f>
              <c:numCache>
                <c:formatCode>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5</c:v>
                </c:pt>
                <c:pt idx="12">
                  <c:v>10</c:v>
                </c:pt>
                <c:pt idx="13">
                  <c:v>15</c:v>
                </c:pt>
                <c:pt idx="14">
                  <c:v>20</c:v>
                </c:pt>
                <c:pt idx="15">
                  <c:v>25</c:v>
                </c:pt>
                <c:pt idx="16">
                  <c:v>30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5B3-451E-BCDB-6D2B076A028E}"/>
            </c:ext>
          </c:extLst>
        </c:ser>
        <c:ser>
          <c:idx val="2"/>
          <c:order val="4"/>
          <c:tx>
            <c:strRef>
              <c:f>condor!$J$2</c:f>
              <c:strCache>
                <c:ptCount val="1"/>
                <c:pt idx="0">
                  <c:v>condor spread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condor!$E$3:$E$19</c:f>
              <c:numCache>
                <c:formatCode>General</c:formatCode>
                <c:ptCount val="17"/>
                <c:pt idx="0">
                  <c:v>70</c:v>
                </c:pt>
                <c:pt idx="1">
                  <c:v>75</c:v>
                </c:pt>
                <c:pt idx="2">
                  <c:v>80</c:v>
                </c:pt>
                <c:pt idx="3">
                  <c:v>85</c:v>
                </c:pt>
                <c:pt idx="4">
                  <c:v>90</c:v>
                </c:pt>
                <c:pt idx="5">
                  <c:v>95</c:v>
                </c:pt>
                <c:pt idx="6">
                  <c:v>100</c:v>
                </c:pt>
                <c:pt idx="7">
                  <c:v>105</c:v>
                </c:pt>
                <c:pt idx="8">
                  <c:v>110</c:v>
                </c:pt>
                <c:pt idx="9">
                  <c:v>115</c:v>
                </c:pt>
                <c:pt idx="10">
                  <c:v>120</c:v>
                </c:pt>
                <c:pt idx="11">
                  <c:v>125</c:v>
                </c:pt>
                <c:pt idx="12">
                  <c:v>130</c:v>
                </c:pt>
                <c:pt idx="13">
                  <c:v>135</c:v>
                </c:pt>
                <c:pt idx="14">
                  <c:v>140</c:v>
                </c:pt>
                <c:pt idx="15">
                  <c:v>145</c:v>
                </c:pt>
                <c:pt idx="16">
                  <c:v>150</c:v>
                </c:pt>
              </c:numCache>
            </c:numRef>
          </c:xVal>
          <c:yVal>
            <c:numRef>
              <c:f>condor!$J$3:$J$19</c:f>
              <c:numCache>
                <c:formatCode>0.0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5B3-451E-BCDB-6D2B076A0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3492240"/>
        <c:axId val="516072384"/>
      </c:scatterChart>
      <c:valAx>
        <c:axId val="713492240"/>
        <c:scaling>
          <c:orientation val="minMax"/>
          <c:max val="130"/>
          <c:min val="8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S(T)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072384"/>
        <c:crosses val="autoZero"/>
        <c:crossBetween val="midCat"/>
      </c:valAx>
      <c:valAx>
        <c:axId val="516072384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4922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Condor spread</a:t>
            </a:r>
            <a:r>
              <a:rPr lang="en-SG" baseline="0"/>
              <a:t> using put options</a:t>
            </a:r>
            <a:endParaRPr lang="en-SG"/>
          </a:p>
        </c:rich>
      </c:tx>
      <c:layout>
        <c:manualLayout>
          <c:xMode val="edge"/>
          <c:yMode val="edge"/>
          <c:x val="0.30039284388121373"/>
          <c:y val="2.80000000000000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condor!$F$23</c:f>
              <c:strCache>
                <c:ptCount val="1"/>
                <c:pt idx="0">
                  <c:v>long put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condor!$E$3:$E$19</c:f>
              <c:numCache>
                <c:formatCode>General</c:formatCode>
                <c:ptCount val="17"/>
                <c:pt idx="0">
                  <c:v>70</c:v>
                </c:pt>
                <c:pt idx="1">
                  <c:v>75</c:v>
                </c:pt>
                <c:pt idx="2">
                  <c:v>80</c:v>
                </c:pt>
                <c:pt idx="3">
                  <c:v>85</c:v>
                </c:pt>
                <c:pt idx="4">
                  <c:v>90</c:v>
                </c:pt>
                <c:pt idx="5">
                  <c:v>95</c:v>
                </c:pt>
                <c:pt idx="6">
                  <c:v>100</c:v>
                </c:pt>
                <c:pt idx="7">
                  <c:v>105</c:v>
                </c:pt>
                <c:pt idx="8">
                  <c:v>110</c:v>
                </c:pt>
                <c:pt idx="9">
                  <c:v>115</c:v>
                </c:pt>
                <c:pt idx="10">
                  <c:v>120</c:v>
                </c:pt>
                <c:pt idx="11">
                  <c:v>125</c:v>
                </c:pt>
                <c:pt idx="12">
                  <c:v>130</c:v>
                </c:pt>
                <c:pt idx="13">
                  <c:v>135</c:v>
                </c:pt>
                <c:pt idx="14">
                  <c:v>140</c:v>
                </c:pt>
                <c:pt idx="15">
                  <c:v>145</c:v>
                </c:pt>
                <c:pt idx="16">
                  <c:v>150</c:v>
                </c:pt>
              </c:numCache>
            </c:numRef>
          </c:xVal>
          <c:yVal>
            <c:numRef>
              <c:f>condor!$F$24:$F$40</c:f>
              <c:numCache>
                <c:formatCode>0</c:formatCode>
                <c:ptCount val="17"/>
                <c:pt idx="0">
                  <c:v>20</c:v>
                </c:pt>
                <c:pt idx="1">
                  <c:v>15</c:v>
                </c:pt>
                <c:pt idx="2">
                  <c:v>10</c:v>
                </c:pt>
                <c:pt idx="3">
                  <c:v>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32-4996-AB52-06678C514B08}"/>
            </c:ext>
          </c:extLst>
        </c:ser>
        <c:ser>
          <c:idx val="1"/>
          <c:order val="1"/>
          <c:tx>
            <c:strRef>
              <c:f>condor!$G$23</c:f>
              <c:strCache>
                <c:ptCount val="1"/>
                <c:pt idx="0">
                  <c:v>short 2 puts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condor!$E$3:$E$19</c:f>
              <c:numCache>
                <c:formatCode>General</c:formatCode>
                <c:ptCount val="17"/>
                <c:pt idx="0">
                  <c:v>70</c:v>
                </c:pt>
                <c:pt idx="1">
                  <c:v>75</c:v>
                </c:pt>
                <c:pt idx="2">
                  <c:v>80</c:v>
                </c:pt>
                <c:pt idx="3">
                  <c:v>85</c:v>
                </c:pt>
                <c:pt idx="4">
                  <c:v>90</c:v>
                </c:pt>
                <c:pt idx="5">
                  <c:v>95</c:v>
                </c:pt>
                <c:pt idx="6">
                  <c:v>100</c:v>
                </c:pt>
                <c:pt idx="7">
                  <c:v>105</c:v>
                </c:pt>
                <c:pt idx="8">
                  <c:v>110</c:v>
                </c:pt>
                <c:pt idx="9">
                  <c:v>115</c:v>
                </c:pt>
                <c:pt idx="10">
                  <c:v>120</c:v>
                </c:pt>
                <c:pt idx="11">
                  <c:v>125</c:v>
                </c:pt>
                <c:pt idx="12">
                  <c:v>130</c:v>
                </c:pt>
                <c:pt idx="13">
                  <c:v>135</c:v>
                </c:pt>
                <c:pt idx="14">
                  <c:v>140</c:v>
                </c:pt>
                <c:pt idx="15">
                  <c:v>145</c:v>
                </c:pt>
                <c:pt idx="16">
                  <c:v>150</c:v>
                </c:pt>
              </c:numCache>
            </c:numRef>
          </c:xVal>
          <c:yVal>
            <c:numRef>
              <c:f>condor!$G$24:$G$40</c:f>
              <c:numCache>
                <c:formatCode>0</c:formatCode>
                <c:ptCount val="17"/>
                <c:pt idx="0">
                  <c:v>-60</c:v>
                </c:pt>
                <c:pt idx="1">
                  <c:v>-50</c:v>
                </c:pt>
                <c:pt idx="2">
                  <c:v>-40</c:v>
                </c:pt>
                <c:pt idx="3">
                  <c:v>-30</c:v>
                </c:pt>
                <c:pt idx="4">
                  <c:v>-20</c:v>
                </c:pt>
                <c:pt idx="5">
                  <c:v>-10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232-4996-AB52-06678C514B08}"/>
            </c:ext>
          </c:extLst>
        </c:ser>
        <c:ser>
          <c:idx val="3"/>
          <c:order val="2"/>
          <c:tx>
            <c:strRef>
              <c:f>condor!$H$23</c:f>
              <c:strCache>
                <c:ptCount val="1"/>
                <c:pt idx="0">
                  <c:v>long put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condor!$E$3:$E$19</c:f>
              <c:numCache>
                <c:formatCode>General</c:formatCode>
                <c:ptCount val="17"/>
                <c:pt idx="0">
                  <c:v>70</c:v>
                </c:pt>
                <c:pt idx="1">
                  <c:v>75</c:v>
                </c:pt>
                <c:pt idx="2">
                  <c:v>80</c:v>
                </c:pt>
                <c:pt idx="3">
                  <c:v>85</c:v>
                </c:pt>
                <c:pt idx="4">
                  <c:v>90</c:v>
                </c:pt>
                <c:pt idx="5">
                  <c:v>95</c:v>
                </c:pt>
                <c:pt idx="6">
                  <c:v>100</c:v>
                </c:pt>
                <c:pt idx="7">
                  <c:v>105</c:v>
                </c:pt>
                <c:pt idx="8">
                  <c:v>110</c:v>
                </c:pt>
                <c:pt idx="9">
                  <c:v>115</c:v>
                </c:pt>
                <c:pt idx="10">
                  <c:v>120</c:v>
                </c:pt>
                <c:pt idx="11">
                  <c:v>125</c:v>
                </c:pt>
                <c:pt idx="12">
                  <c:v>130</c:v>
                </c:pt>
                <c:pt idx="13">
                  <c:v>135</c:v>
                </c:pt>
                <c:pt idx="14">
                  <c:v>140</c:v>
                </c:pt>
                <c:pt idx="15">
                  <c:v>145</c:v>
                </c:pt>
                <c:pt idx="16">
                  <c:v>150</c:v>
                </c:pt>
              </c:numCache>
            </c:numRef>
          </c:xVal>
          <c:yVal>
            <c:numRef>
              <c:f>condor!$H$24:$H$40</c:f>
              <c:numCache>
                <c:formatCode>0</c:formatCode>
                <c:ptCount val="17"/>
                <c:pt idx="0">
                  <c:v>40</c:v>
                </c:pt>
                <c:pt idx="1">
                  <c:v>35</c:v>
                </c:pt>
                <c:pt idx="2">
                  <c:v>30</c:v>
                </c:pt>
                <c:pt idx="3">
                  <c:v>25</c:v>
                </c:pt>
                <c:pt idx="4">
                  <c:v>20</c:v>
                </c:pt>
                <c:pt idx="5">
                  <c:v>15</c:v>
                </c:pt>
                <c:pt idx="6">
                  <c:v>10</c:v>
                </c:pt>
                <c:pt idx="7">
                  <c:v>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232-4996-AB52-06678C514B08}"/>
            </c:ext>
          </c:extLst>
        </c:ser>
        <c:ser>
          <c:idx val="2"/>
          <c:order val="3"/>
          <c:tx>
            <c:strRef>
              <c:f>condor!$I$23</c:f>
              <c:strCache>
                <c:ptCount val="1"/>
                <c:pt idx="0">
                  <c:v>butterfly spread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condor!$E$3:$E$19</c:f>
              <c:numCache>
                <c:formatCode>General</c:formatCode>
                <c:ptCount val="17"/>
                <c:pt idx="0">
                  <c:v>70</c:v>
                </c:pt>
                <c:pt idx="1">
                  <c:v>75</c:v>
                </c:pt>
                <c:pt idx="2">
                  <c:v>80</c:v>
                </c:pt>
                <c:pt idx="3">
                  <c:v>85</c:v>
                </c:pt>
                <c:pt idx="4">
                  <c:v>90</c:v>
                </c:pt>
                <c:pt idx="5">
                  <c:v>95</c:v>
                </c:pt>
                <c:pt idx="6">
                  <c:v>100</c:v>
                </c:pt>
                <c:pt idx="7">
                  <c:v>105</c:v>
                </c:pt>
                <c:pt idx="8">
                  <c:v>110</c:v>
                </c:pt>
                <c:pt idx="9">
                  <c:v>115</c:v>
                </c:pt>
                <c:pt idx="10">
                  <c:v>120</c:v>
                </c:pt>
                <c:pt idx="11">
                  <c:v>125</c:v>
                </c:pt>
                <c:pt idx="12">
                  <c:v>130</c:v>
                </c:pt>
                <c:pt idx="13">
                  <c:v>135</c:v>
                </c:pt>
                <c:pt idx="14">
                  <c:v>140</c:v>
                </c:pt>
                <c:pt idx="15">
                  <c:v>145</c:v>
                </c:pt>
                <c:pt idx="16">
                  <c:v>150</c:v>
                </c:pt>
              </c:numCache>
            </c:numRef>
          </c:xVal>
          <c:yVal>
            <c:numRef>
              <c:f>condor!$I$24:$I$40</c:f>
              <c:numCache>
                <c:formatCode>0.0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</c:v>
                </c:pt>
                <c:pt idx="6">
                  <c:v>10</c:v>
                </c:pt>
                <c:pt idx="7">
                  <c:v>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232-4996-AB52-06678C514B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3492240"/>
        <c:axId val="516072384"/>
      </c:scatterChart>
      <c:valAx>
        <c:axId val="713492240"/>
        <c:scaling>
          <c:orientation val="minMax"/>
          <c:max val="130"/>
          <c:min val="7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S(T)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072384"/>
        <c:crosses val="autoZero"/>
        <c:crossBetween val="midCat"/>
      </c:valAx>
      <c:valAx>
        <c:axId val="516072384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4922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Ratio call spread</a:t>
            </a:r>
          </a:p>
        </c:rich>
      </c:tx>
      <c:layout>
        <c:manualLayout>
          <c:xMode val="edge"/>
          <c:yMode val="edge"/>
          <c:x val="0.39182307935973859"/>
          <c:y val="3.194489742036683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ratio!$F$2</c:f>
              <c:strCache>
                <c:ptCount val="1"/>
                <c:pt idx="0">
                  <c:v>long call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ratio!$E$3:$E$19</c:f>
              <c:numCache>
                <c:formatCode>General</c:formatCode>
                <c:ptCount val="17"/>
                <c:pt idx="0">
                  <c:v>70</c:v>
                </c:pt>
                <c:pt idx="1">
                  <c:v>75</c:v>
                </c:pt>
                <c:pt idx="2">
                  <c:v>80</c:v>
                </c:pt>
                <c:pt idx="3">
                  <c:v>85</c:v>
                </c:pt>
                <c:pt idx="4">
                  <c:v>90</c:v>
                </c:pt>
                <c:pt idx="5">
                  <c:v>95</c:v>
                </c:pt>
                <c:pt idx="6">
                  <c:v>100</c:v>
                </c:pt>
                <c:pt idx="7">
                  <c:v>105</c:v>
                </c:pt>
                <c:pt idx="8">
                  <c:v>110</c:v>
                </c:pt>
                <c:pt idx="9">
                  <c:v>115</c:v>
                </c:pt>
                <c:pt idx="10">
                  <c:v>120</c:v>
                </c:pt>
                <c:pt idx="11">
                  <c:v>125</c:v>
                </c:pt>
                <c:pt idx="12">
                  <c:v>130</c:v>
                </c:pt>
                <c:pt idx="13">
                  <c:v>135</c:v>
                </c:pt>
                <c:pt idx="14">
                  <c:v>140</c:v>
                </c:pt>
                <c:pt idx="15">
                  <c:v>145</c:v>
                </c:pt>
                <c:pt idx="16">
                  <c:v>150</c:v>
                </c:pt>
              </c:numCache>
            </c:numRef>
          </c:xVal>
          <c:yVal>
            <c:numRef>
              <c:f>ratio!$F$3:$F$19</c:f>
              <c:numCache>
                <c:formatCode>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  <c:pt idx="9">
                  <c:v>25</c:v>
                </c:pt>
                <c:pt idx="10">
                  <c:v>30</c:v>
                </c:pt>
                <c:pt idx="11">
                  <c:v>35</c:v>
                </c:pt>
                <c:pt idx="12">
                  <c:v>40</c:v>
                </c:pt>
                <c:pt idx="13">
                  <c:v>45</c:v>
                </c:pt>
                <c:pt idx="14">
                  <c:v>50</c:v>
                </c:pt>
                <c:pt idx="15">
                  <c:v>55</c:v>
                </c:pt>
                <c:pt idx="16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01-455B-9541-9200C066E890}"/>
            </c:ext>
          </c:extLst>
        </c:ser>
        <c:ser>
          <c:idx val="1"/>
          <c:order val="1"/>
          <c:tx>
            <c:strRef>
              <c:f>ratio!$G$2</c:f>
              <c:strCache>
                <c:ptCount val="1"/>
                <c:pt idx="0">
                  <c:v>short 2 call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ratio!$E$3:$E$19</c:f>
              <c:numCache>
                <c:formatCode>General</c:formatCode>
                <c:ptCount val="17"/>
                <c:pt idx="0">
                  <c:v>70</c:v>
                </c:pt>
                <c:pt idx="1">
                  <c:v>75</c:v>
                </c:pt>
                <c:pt idx="2">
                  <c:v>80</c:v>
                </c:pt>
                <c:pt idx="3">
                  <c:v>85</c:v>
                </c:pt>
                <c:pt idx="4">
                  <c:v>90</c:v>
                </c:pt>
                <c:pt idx="5">
                  <c:v>95</c:v>
                </c:pt>
                <c:pt idx="6">
                  <c:v>100</c:v>
                </c:pt>
                <c:pt idx="7">
                  <c:v>105</c:v>
                </c:pt>
                <c:pt idx="8">
                  <c:v>110</c:v>
                </c:pt>
                <c:pt idx="9">
                  <c:v>115</c:v>
                </c:pt>
                <c:pt idx="10">
                  <c:v>120</c:v>
                </c:pt>
                <c:pt idx="11">
                  <c:v>125</c:v>
                </c:pt>
                <c:pt idx="12">
                  <c:v>130</c:v>
                </c:pt>
                <c:pt idx="13">
                  <c:v>135</c:v>
                </c:pt>
                <c:pt idx="14">
                  <c:v>140</c:v>
                </c:pt>
                <c:pt idx="15">
                  <c:v>145</c:v>
                </c:pt>
                <c:pt idx="16">
                  <c:v>150</c:v>
                </c:pt>
              </c:numCache>
            </c:numRef>
          </c:xVal>
          <c:yVal>
            <c:numRef>
              <c:f>ratio!$G$3:$G$19</c:f>
              <c:numCache>
                <c:formatCode>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-10</c:v>
                </c:pt>
                <c:pt idx="8">
                  <c:v>-20</c:v>
                </c:pt>
                <c:pt idx="9">
                  <c:v>-30</c:v>
                </c:pt>
                <c:pt idx="10">
                  <c:v>-40</c:v>
                </c:pt>
                <c:pt idx="11">
                  <c:v>-50</c:v>
                </c:pt>
                <c:pt idx="12">
                  <c:v>-60</c:v>
                </c:pt>
                <c:pt idx="13">
                  <c:v>-70</c:v>
                </c:pt>
                <c:pt idx="14">
                  <c:v>-80</c:v>
                </c:pt>
                <c:pt idx="15">
                  <c:v>-90</c:v>
                </c:pt>
                <c:pt idx="16">
                  <c:v>-100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D01-455B-9541-9200C066E890}"/>
            </c:ext>
          </c:extLst>
        </c:ser>
        <c:ser>
          <c:idx val="2"/>
          <c:order val="2"/>
          <c:tx>
            <c:strRef>
              <c:f>ratio!$H$2</c:f>
              <c:strCache>
                <c:ptCount val="1"/>
                <c:pt idx="0">
                  <c:v>ratio call spread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ratio!$E$3:$E$19</c:f>
              <c:numCache>
                <c:formatCode>General</c:formatCode>
                <c:ptCount val="17"/>
                <c:pt idx="0">
                  <c:v>70</c:v>
                </c:pt>
                <c:pt idx="1">
                  <c:v>75</c:v>
                </c:pt>
                <c:pt idx="2">
                  <c:v>80</c:v>
                </c:pt>
                <c:pt idx="3">
                  <c:v>85</c:v>
                </c:pt>
                <c:pt idx="4">
                  <c:v>90</c:v>
                </c:pt>
                <c:pt idx="5">
                  <c:v>95</c:v>
                </c:pt>
                <c:pt idx="6">
                  <c:v>100</c:v>
                </c:pt>
                <c:pt idx="7">
                  <c:v>105</c:v>
                </c:pt>
                <c:pt idx="8">
                  <c:v>110</c:v>
                </c:pt>
                <c:pt idx="9">
                  <c:v>115</c:v>
                </c:pt>
                <c:pt idx="10">
                  <c:v>120</c:v>
                </c:pt>
                <c:pt idx="11">
                  <c:v>125</c:v>
                </c:pt>
                <c:pt idx="12">
                  <c:v>130</c:v>
                </c:pt>
                <c:pt idx="13">
                  <c:v>135</c:v>
                </c:pt>
                <c:pt idx="14">
                  <c:v>140</c:v>
                </c:pt>
                <c:pt idx="15">
                  <c:v>145</c:v>
                </c:pt>
                <c:pt idx="16">
                  <c:v>150</c:v>
                </c:pt>
              </c:numCache>
            </c:numRef>
          </c:xVal>
          <c:yVal>
            <c:numRef>
              <c:f>ratio!$H$3:$H$19</c:f>
              <c:numCache>
                <c:formatCode>0.0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</c:v>
                </c:pt>
                <c:pt idx="6">
                  <c:v>10</c:v>
                </c:pt>
                <c:pt idx="7">
                  <c:v>5</c:v>
                </c:pt>
                <c:pt idx="8">
                  <c:v>0</c:v>
                </c:pt>
                <c:pt idx="9">
                  <c:v>-5</c:v>
                </c:pt>
                <c:pt idx="10">
                  <c:v>-10</c:v>
                </c:pt>
                <c:pt idx="11">
                  <c:v>-15</c:v>
                </c:pt>
                <c:pt idx="12">
                  <c:v>-20</c:v>
                </c:pt>
                <c:pt idx="13">
                  <c:v>-25</c:v>
                </c:pt>
                <c:pt idx="14">
                  <c:v>-30</c:v>
                </c:pt>
                <c:pt idx="15">
                  <c:v>-35</c:v>
                </c:pt>
                <c:pt idx="16">
                  <c:v>-40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D01-455B-9541-9200C066E8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3492240"/>
        <c:axId val="516072384"/>
      </c:scatterChart>
      <c:valAx>
        <c:axId val="713492240"/>
        <c:scaling>
          <c:orientation val="minMax"/>
          <c:max val="130"/>
          <c:min val="8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S(T)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072384"/>
        <c:crosses val="autoZero"/>
        <c:crossBetween val="midCat"/>
      </c:valAx>
      <c:valAx>
        <c:axId val="516072384"/>
        <c:scaling>
          <c:orientation val="minMax"/>
          <c:max val="20"/>
          <c:min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4922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strangle</a:t>
            </a:r>
          </a:p>
        </c:rich>
      </c:tx>
      <c:layout>
        <c:manualLayout>
          <c:xMode val="edge"/>
          <c:yMode val="edge"/>
          <c:x val="0.47362903971397091"/>
          <c:y val="3.588967059590923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straddle!$F$2</c:f>
              <c:strCache>
                <c:ptCount val="1"/>
                <c:pt idx="0">
                  <c:v>long call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straddle!$E$3:$E$19</c:f>
              <c:numCache>
                <c:formatCode>General</c:formatCode>
                <c:ptCount val="17"/>
                <c:pt idx="0">
                  <c:v>75</c:v>
                </c:pt>
                <c:pt idx="1">
                  <c:v>80</c:v>
                </c:pt>
                <c:pt idx="2">
                  <c:v>85</c:v>
                </c:pt>
                <c:pt idx="3">
                  <c:v>90</c:v>
                </c:pt>
                <c:pt idx="4">
                  <c:v>95</c:v>
                </c:pt>
                <c:pt idx="5">
                  <c:v>100</c:v>
                </c:pt>
                <c:pt idx="6">
                  <c:v>105</c:v>
                </c:pt>
                <c:pt idx="7">
                  <c:v>110</c:v>
                </c:pt>
                <c:pt idx="8">
                  <c:v>115</c:v>
                </c:pt>
                <c:pt idx="9">
                  <c:v>120</c:v>
                </c:pt>
                <c:pt idx="10">
                  <c:v>125</c:v>
                </c:pt>
                <c:pt idx="11">
                  <c:v>130</c:v>
                </c:pt>
                <c:pt idx="12">
                  <c:v>135</c:v>
                </c:pt>
                <c:pt idx="13">
                  <c:v>140</c:v>
                </c:pt>
                <c:pt idx="14">
                  <c:v>145</c:v>
                </c:pt>
                <c:pt idx="15">
                  <c:v>150</c:v>
                </c:pt>
                <c:pt idx="16">
                  <c:v>155</c:v>
                </c:pt>
              </c:numCache>
            </c:numRef>
          </c:xVal>
          <c:yVal>
            <c:numRef>
              <c:f>straddle!$F$3:$F$19</c:f>
              <c:numCache>
                <c:formatCode>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10</c:v>
                </c:pt>
                <c:pt idx="9">
                  <c:v>15</c:v>
                </c:pt>
                <c:pt idx="10">
                  <c:v>20</c:v>
                </c:pt>
                <c:pt idx="11">
                  <c:v>25</c:v>
                </c:pt>
                <c:pt idx="12">
                  <c:v>30</c:v>
                </c:pt>
                <c:pt idx="13">
                  <c:v>35</c:v>
                </c:pt>
                <c:pt idx="14">
                  <c:v>40</c:v>
                </c:pt>
                <c:pt idx="15">
                  <c:v>45</c:v>
                </c:pt>
                <c:pt idx="16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D73-4B63-8EE8-75A7420C642B}"/>
            </c:ext>
          </c:extLst>
        </c:ser>
        <c:ser>
          <c:idx val="1"/>
          <c:order val="1"/>
          <c:tx>
            <c:strRef>
              <c:f>straddle!$G$2</c:f>
              <c:strCache>
                <c:ptCount val="1"/>
                <c:pt idx="0">
                  <c:v>long put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straddle!$E$3:$E$19</c:f>
              <c:numCache>
                <c:formatCode>General</c:formatCode>
                <c:ptCount val="17"/>
                <c:pt idx="0">
                  <c:v>75</c:v>
                </c:pt>
                <c:pt idx="1">
                  <c:v>80</c:v>
                </c:pt>
                <c:pt idx="2">
                  <c:v>85</c:v>
                </c:pt>
                <c:pt idx="3">
                  <c:v>90</c:v>
                </c:pt>
                <c:pt idx="4">
                  <c:v>95</c:v>
                </c:pt>
                <c:pt idx="5">
                  <c:v>100</c:v>
                </c:pt>
                <c:pt idx="6">
                  <c:v>105</c:v>
                </c:pt>
                <c:pt idx="7">
                  <c:v>110</c:v>
                </c:pt>
                <c:pt idx="8">
                  <c:v>115</c:v>
                </c:pt>
                <c:pt idx="9">
                  <c:v>120</c:v>
                </c:pt>
                <c:pt idx="10">
                  <c:v>125</c:v>
                </c:pt>
                <c:pt idx="11">
                  <c:v>130</c:v>
                </c:pt>
                <c:pt idx="12">
                  <c:v>135</c:v>
                </c:pt>
                <c:pt idx="13">
                  <c:v>140</c:v>
                </c:pt>
                <c:pt idx="14">
                  <c:v>145</c:v>
                </c:pt>
                <c:pt idx="15">
                  <c:v>150</c:v>
                </c:pt>
                <c:pt idx="16">
                  <c:v>155</c:v>
                </c:pt>
              </c:numCache>
            </c:numRef>
          </c:xVal>
          <c:yVal>
            <c:numRef>
              <c:f>straddle!$G$3:$G$19</c:f>
              <c:numCache>
                <c:formatCode>0</c:formatCode>
                <c:ptCount val="17"/>
                <c:pt idx="0">
                  <c:v>20</c:v>
                </c:pt>
                <c:pt idx="1">
                  <c:v>15</c:v>
                </c:pt>
                <c:pt idx="2">
                  <c:v>10</c:v>
                </c:pt>
                <c:pt idx="3">
                  <c:v>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D73-4B63-8EE8-75A7420C642B}"/>
            </c:ext>
          </c:extLst>
        </c:ser>
        <c:ser>
          <c:idx val="2"/>
          <c:order val="2"/>
          <c:tx>
            <c:strRef>
              <c:f>straddle!$H$2</c:f>
              <c:strCache>
                <c:ptCount val="1"/>
                <c:pt idx="0">
                  <c:v>straddle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straddle!$E$3:$E$19</c:f>
              <c:numCache>
                <c:formatCode>General</c:formatCode>
                <c:ptCount val="17"/>
                <c:pt idx="0">
                  <c:v>75</c:v>
                </c:pt>
                <c:pt idx="1">
                  <c:v>80</c:v>
                </c:pt>
                <c:pt idx="2">
                  <c:v>85</c:v>
                </c:pt>
                <c:pt idx="3">
                  <c:v>90</c:v>
                </c:pt>
                <c:pt idx="4">
                  <c:v>95</c:v>
                </c:pt>
                <c:pt idx="5">
                  <c:v>100</c:v>
                </c:pt>
                <c:pt idx="6">
                  <c:v>105</c:v>
                </c:pt>
                <c:pt idx="7">
                  <c:v>110</c:v>
                </c:pt>
                <c:pt idx="8">
                  <c:v>115</c:v>
                </c:pt>
                <c:pt idx="9">
                  <c:v>120</c:v>
                </c:pt>
                <c:pt idx="10">
                  <c:v>125</c:v>
                </c:pt>
                <c:pt idx="11">
                  <c:v>130</c:v>
                </c:pt>
                <c:pt idx="12">
                  <c:v>135</c:v>
                </c:pt>
                <c:pt idx="13">
                  <c:v>140</c:v>
                </c:pt>
                <c:pt idx="14">
                  <c:v>145</c:v>
                </c:pt>
                <c:pt idx="15">
                  <c:v>150</c:v>
                </c:pt>
                <c:pt idx="16">
                  <c:v>155</c:v>
                </c:pt>
              </c:numCache>
            </c:numRef>
          </c:xVal>
          <c:yVal>
            <c:numRef>
              <c:f>straddle!$H$3:$H$19</c:f>
              <c:numCache>
                <c:formatCode>0.0</c:formatCode>
                <c:ptCount val="17"/>
                <c:pt idx="0">
                  <c:v>20</c:v>
                </c:pt>
                <c:pt idx="1">
                  <c:v>15</c:v>
                </c:pt>
                <c:pt idx="2">
                  <c:v>10</c:v>
                </c:pt>
                <c:pt idx="3">
                  <c:v>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10</c:v>
                </c:pt>
                <c:pt idx="9">
                  <c:v>15</c:v>
                </c:pt>
                <c:pt idx="10">
                  <c:v>20</c:v>
                </c:pt>
                <c:pt idx="11">
                  <c:v>25</c:v>
                </c:pt>
                <c:pt idx="12">
                  <c:v>30</c:v>
                </c:pt>
                <c:pt idx="13">
                  <c:v>35</c:v>
                </c:pt>
                <c:pt idx="14">
                  <c:v>40</c:v>
                </c:pt>
                <c:pt idx="15">
                  <c:v>45</c:v>
                </c:pt>
                <c:pt idx="16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D73-4B63-8EE8-75A7420C64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3492240"/>
        <c:axId val="516072384"/>
      </c:scatterChart>
      <c:valAx>
        <c:axId val="713492240"/>
        <c:scaling>
          <c:orientation val="minMax"/>
          <c:max val="125"/>
          <c:min val="7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S(T)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072384"/>
        <c:crosses val="autoZero"/>
        <c:crossBetween val="midCat"/>
      </c:valAx>
      <c:valAx>
        <c:axId val="516072384"/>
        <c:scaling>
          <c:orientation val="minMax"/>
          <c:max val="20"/>
          <c:min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4922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BS Delta, r=q=0, vol=0.2, K=100, T=1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Delta!$I$2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Delta!$E$3:$E$19</c:f>
              <c:numCache>
                <c:formatCode>General</c:formatCode>
                <c:ptCount val="17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</c:numCache>
            </c:numRef>
          </c:xVal>
          <c:yVal>
            <c:numRef>
              <c:f>Delta!$I$3:$I$19</c:f>
              <c:numCache>
                <c:formatCode>0.0</c:formatCode>
                <c:ptCount val="17"/>
                <c:pt idx="0">
                  <c:v>1.8020028663081354E-30</c:v>
                </c:pt>
                <c:pt idx="1">
                  <c:v>9.5395176708178118E-16</c:v>
                </c:pt>
                <c:pt idx="2">
                  <c:v>1.6110395464149303E-9</c:v>
                </c:pt>
                <c:pt idx="3">
                  <c:v>3.7068165958527538E-6</c:v>
                </c:pt>
                <c:pt idx="4">
                  <c:v>3.8169879870480952E-4</c:v>
                </c:pt>
                <c:pt idx="5">
                  <c:v>7.0613327361399025E-3</c:v>
                </c:pt>
                <c:pt idx="6">
                  <c:v>4.6151286998280527E-2</c:v>
                </c:pt>
                <c:pt idx="7">
                  <c:v>0.15488190495460685</c:v>
                </c:pt>
                <c:pt idx="8">
                  <c:v>0.33476156420020331</c:v>
                </c:pt>
                <c:pt idx="9">
                  <c:v>0.53982783724038086</c:v>
                </c:pt>
                <c:pt idx="10">
                  <c:v>0.71787856181337872</c:v>
                </c:pt>
                <c:pt idx="11">
                  <c:v>0.84413718868248111</c:v>
                </c:pt>
                <c:pt idx="12">
                  <c:v>0.92099871078943352</c:v>
                </c:pt>
                <c:pt idx="13">
                  <c:v>0.96265482447677186</c:v>
                </c:pt>
                <c:pt idx="14">
                  <c:v>0.98330347803710083</c:v>
                </c:pt>
                <c:pt idx="15">
                  <c:v>0.99285754920686031</c:v>
                </c:pt>
                <c:pt idx="16">
                  <c:v>0.99704867885463955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06D-4342-9511-7EACDC46E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3492240"/>
        <c:axId val="516072384"/>
      </c:scatterChart>
      <c:valAx>
        <c:axId val="713492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S(0)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072384"/>
        <c:crosses val="autoZero"/>
        <c:crossBetween val="midCat"/>
      </c:valAx>
      <c:valAx>
        <c:axId val="516072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Delta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492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BS Gamma, r=q=0, vol=0.2, K=100, T=1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Gamma!$I$2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Gamma!$E$3:$E$19</c:f>
              <c:numCache>
                <c:formatCode>General</c:formatCode>
                <c:ptCount val="17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</c:numCache>
            </c:numRef>
          </c:xVal>
          <c:yVal>
            <c:numRef>
              <c:f>Gamma!$I$3:$I$19</c:f>
              <c:numCache>
                <c:formatCode>0.000</c:formatCode>
                <c:ptCount val="17"/>
                <c:pt idx="0">
                  <c:v>1.0360843022560068E-29</c:v>
                </c:pt>
                <c:pt idx="1">
                  <c:v>1.9244275045590552E-15</c:v>
                </c:pt>
                <c:pt idx="2">
                  <c:v>1.6326128063251733E-9</c:v>
                </c:pt>
                <c:pt idx="3">
                  <c:v>2.1715031726568914E-6</c:v>
                </c:pt>
                <c:pt idx="4">
                  <c:v>1.383647374193081E-4</c:v>
                </c:pt>
                <c:pt idx="5">
                  <c:v>1.6364831365023313E-3</c:v>
                </c:pt>
                <c:pt idx="6">
                  <c:v>6.9093744614612262E-3</c:v>
                </c:pt>
                <c:pt idx="7">
                  <c:v>1.4885204180359324E-2</c:v>
                </c:pt>
                <c:pt idx="8">
                  <c:v>2.0234169895161358E-2</c:v>
                </c:pt>
                <c:pt idx="9">
                  <c:v>1.9847501420144908E-2</c:v>
                </c:pt>
                <c:pt idx="10">
                  <c:v>1.535673810337812E-2</c:v>
                </c:pt>
                <c:pt idx="11">
                  <c:v>9.9654506868773751E-3</c:v>
                </c:pt>
                <c:pt idx="12">
                  <c:v>5.6638249645857286E-3</c:v>
                </c:pt>
                <c:pt idx="13">
                  <c:v>2.9103830456733704E-3</c:v>
                </c:pt>
                <c:pt idx="14">
                  <c:v>1.383249070840975E-3</c:v>
                </c:pt>
                <c:pt idx="15">
                  <c:v>6.1923799421492731E-4</c:v>
                </c:pt>
                <c:pt idx="16">
                  <c:v>2.6574298317427747E-4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0CF-43DA-BBB3-848C19A05F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3492240"/>
        <c:axId val="516072384"/>
      </c:scatterChart>
      <c:valAx>
        <c:axId val="713492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S(0)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072384"/>
        <c:crosses val="autoZero"/>
        <c:crossBetween val="midCat"/>
      </c:valAx>
      <c:valAx>
        <c:axId val="516072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Gamma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492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BS Vega, r=q=0, vol=0.2, K=100, T=1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Vega!$I$2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Vega!$E$3:$E$19</c:f>
              <c:numCache>
                <c:formatCode>General</c:formatCode>
                <c:ptCount val="17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</c:numCache>
            </c:numRef>
          </c:xVal>
          <c:yVal>
            <c:numRef>
              <c:f>Vega!$I$3:$I$19</c:f>
              <c:numCache>
                <c:formatCode>0.0</c:formatCode>
                <c:ptCount val="17"/>
                <c:pt idx="0">
                  <c:v>2.0736504738480499E-28</c:v>
                </c:pt>
                <c:pt idx="1">
                  <c:v>1.5398046440767393E-13</c:v>
                </c:pt>
                <c:pt idx="2">
                  <c:v>2.9388244062587311E-7</c:v>
                </c:pt>
                <c:pt idx="3">
                  <c:v>6.9489012783967828E-4</c:v>
                </c:pt>
                <c:pt idx="4">
                  <c:v>6.918299995080715E-2</c:v>
                </c:pt>
                <c:pt idx="5">
                  <c:v>1.1782550456210239</c:v>
                </c:pt>
                <c:pt idx="6">
                  <c:v>6.7712215489595939</c:v>
                </c:pt>
                <c:pt idx="7">
                  <c:v>19.053422199831747</c:v>
                </c:pt>
                <c:pt idx="8">
                  <c:v>32.779092375954107</c:v>
                </c:pt>
                <c:pt idx="9">
                  <c:v>39.695254731269003</c:v>
                </c:pt>
                <c:pt idx="10">
                  <c:v>37.163843368439586</c:v>
                </c:pt>
                <c:pt idx="11">
                  <c:v>28.699450581388675</c:v>
                </c:pt>
                <c:pt idx="12">
                  <c:v>19.143746343228685</c:v>
                </c:pt>
                <c:pt idx="13">
                  <c:v>11.407809595631591</c:v>
                </c:pt>
                <c:pt idx="14">
                  <c:v>6.2272820493447512</c:v>
                </c:pt>
                <c:pt idx="15">
                  <c:v>3.1738374221745858</c:v>
                </c:pt>
                <c:pt idx="16">
                  <c:v>1.5326031522988615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897-4B6F-A66C-E9DBB12C73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3492240"/>
        <c:axId val="516072384"/>
      </c:scatterChart>
      <c:valAx>
        <c:axId val="713492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S(0)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072384"/>
        <c:crosses val="autoZero"/>
        <c:crossBetween val="midCat"/>
      </c:valAx>
      <c:valAx>
        <c:axId val="516072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Vega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492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BS Rho, r=q=0, vol=0.2, K=100, T=1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Rho!$I$2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Rho!$E$3:$E$19</c:f>
              <c:numCache>
                <c:formatCode>General</c:formatCode>
                <c:ptCount val="17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</c:numCache>
            </c:numRef>
          </c:xVal>
          <c:yVal>
            <c:numRef>
              <c:f>Rho!$I$3:$I$19</c:f>
              <c:numCache>
                <c:formatCode>0.0</c:formatCode>
                <c:ptCount val="17"/>
                <c:pt idx="0">
                  <c:v>1.7714257532059172E-29</c:v>
                </c:pt>
                <c:pt idx="1">
                  <c:v>1.8624027259700502E-14</c:v>
                </c:pt>
                <c:pt idx="2">
                  <c:v>4.682769188575278E-8</c:v>
                </c:pt>
                <c:pt idx="3">
                  <c:v>1.4242402047183629E-4</c:v>
                </c:pt>
                <c:pt idx="4">
                  <c:v>1.8141839996880377E-2</c:v>
                </c:pt>
                <c:pt idx="5">
                  <c:v>0.39756826354542252</c:v>
                </c:pt>
                <c:pt idx="6">
                  <c:v>2.9824806160445858</c:v>
                </c:pt>
                <c:pt idx="7">
                  <c:v>11.204623547924619</c:v>
                </c:pt>
                <c:pt idx="8">
                  <c:v>26.539433016206093</c:v>
                </c:pt>
                <c:pt idx="9">
                  <c:v>46.017215852831583</c:v>
                </c:pt>
                <c:pt idx="10">
                  <c:v>64.674629752508039</c:v>
                </c:pt>
                <c:pt idx="11">
                  <c:v>79.149162514635663</c:v>
                </c:pt>
                <c:pt idx="12">
                  <c:v>88.720959640564701</c:v>
                </c:pt>
                <c:pt idx="13">
                  <c:v>94.321642176282694</c:v>
                </c:pt>
                <c:pt idx="14">
                  <c:v>97.303045929990617</c:v>
                </c:pt>
                <c:pt idx="15">
                  <c:v>98.777610143088168</c:v>
                </c:pt>
                <c:pt idx="16">
                  <c:v>99.466219023227609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216-4312-BCD8-9429387D9F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3492240"/>
        <c:axId val="516072384"/>
      </c:scatterChart>
      <c:valAx>
        <c:axId val="713492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S(0)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072384"/>
        <c:crosses val="autoZero"/>
        <c:crossBetween val="midCat"/>
      </c:valAx>
      <c:valAx>
        <c:axId val="516072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Rho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492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BS Theta, r=q=0, vol=0.2, K=100, T=1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Theta!$I$2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Theta!$E$3:$E$19</c:f>
              <c:numCache>
                <c:formatCode>General</c:formatCode>
                <c:ptCount val="17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</c:numCache>
            </c:numRef>
          </c:xVal>
          <c:yVal>
            <c:numRef>
              <c:f>Theta!$I$3:$I$19</c:f>
              <c:numCache>
                <c:formatCode>0.0</c:formatCode>
                <c:ptCount val="17"/>
                <c:pt idx="0">
                  <c:v>-1.0326840582158593E-29</c:v>
                </c:pt>
                <c:pt idx="1">
                  <c:v>-7.6854853315251618E-15</c:v>
                </c:pt>
                <c:pt idx="2">
                  <c:v>-1.4680451007206892E-8</c:v>
                </c:pt>
                <c:pt idx="3">
                  <c:v>-3.4726610605059806E-5</c:v>
                </c:pt>
                <c:pt idx="4">
                  <c:v>-3.4581831647822981E-3</c:v>
                </c:pt>
                <c:pt idx="5">
                  <c:v>-5.8904575870634412E-2</c:v>
                </c:pt>
                <c:pt idx="6">
                  <c:v>-0.33854269900671086</c:v>
                </c:pt>
                <c:pt idx="7">
                  <c:v>-0.95266560415363521</c:v>
                </c:pt>
                <c:pt idx="8">
                  <c:v>-1.6389846849040879</c:v>
                </c:pt>
                <c:pt idx="9">
                  <c:v>-1.9848128550981059</c:v>
                </c:pt>
                <c:pt idx="10">
                  <c:v>-1.8582285889845451</c:v>
                </c:pt>
                <c:pt idx="11">
                  <c:v>-1.4349790580148181</c:v>
                </c:pt>
                <c:pt idx="12">
                  <c:v>-0.95717039389597858</c:v>
                </c:pt>
                <c:pt idx="13">
                  <c:v>-0.57036453373626728</c:v>
                </c:pt>
                <c:pt idx="14">
                  <c:v>-0.31133991281961926</c:v>
                </c:pt>
                <c:pt idx="15">
                  <c:v>-0.15867387705981173</c:v>
                </c:pt>
                <c:pt idx="16">
                  <c:v>-7.6618517255155894E-2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2C-49DC-8816-57D9E7F12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3492240"/>
        <c:axId val="516072384"/>
      </c:scatterChart>
      <c:valAx>
        <c:axId val="713492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S(0)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072384"/>
        <c:crosses val="autoZero"/>
        <c:crossBetween val="midCat"/>
      </c:valAx>
      <c:valAx>
        <c:axId val="516072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Theta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492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135965</xdr:colOff>
      <xdr:row>1</xdr:row>
      <xdr:rowOff>11579</xdr:rowOff>
    </xdr:from>
    <xdr:to>
      <xdr:col>22</xdr:col>
      <xdr:colOff>513603</xdr:colOff>
      <xdr:row>18</xdr:row>
      <xdr:rowOff>56029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DBBCE76-BF14-4DC8-9F69-B64F8E09DC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124385</xdr:colOff>
      <xdr:row>18</xdr:row>
      <xdr:rowOff>181536</xdr:rowOff>
    </xdr:from>
    <xdr:to>
      <xdr:col>23</xdr:col>
      <xdr:colOff>233082</xdr:colOff>
      <xdr:row>36</xdr:row>
      <xdr:rowOff>39222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D071064-CE14-4E91-9E7D-874022CD4E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186765</xdr:colOff>
      <xdr:row>20</xdr:row>
      <xdr:rowOff>141942</xdr:rowOff>
    </xdr:from>
    <xdr:to>
      <xdr:col>12</xdr:col>
      <xdr:colOff>407520</xdr:colOff>
      <xdr:row>37</xdr:row>
      <xdr:rowOff>186392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AAF7620-A323-4222-BFE4-2438CE05B8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135965</xdr:colOff>
      <xdr:row>1</xdr:row>
      <xdr:rowOff>11579</xdr:rowOff>
    </xdr:from>
    <xdr:to>
      <xdr:col>22</xdr:col>
      <xdr:colOff>513603</xdr:colOff>
      <xdr:row>18</xdr:row>
      <xdr:rowOff>56029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902375A-CACD-4C4B-AE7E-22DA461CA9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124385</xdr:colOff>
      <xdr:row>18</xdr:row>
      <xdr:rowOff>181536</xdr:rowOff>
    </xdr:from>
    <xdr:to>
      <xdr:col>23</xdr:col>
      <xdr:colOff>233082</xdr:colOff>
      <xdr:row>36</xdr:row>
      <xdr:rowOff>39222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395BBA8-55F3-4800-A021-992567BEC4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135965</xdr:colOff>
      <xdr:row>1</xdr:row>
      <xdr:rowOff>11579</xdr:rowOff>
    </xdr:from>
    <xdr:to>
      <xdr:col>22</xdr:col>
      <xdr:colOff>513603</xdr:colOff>
      <xdr:row>18</xdr:row>
      <xdr:rowOff>56029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6D882C3-E73E-47CC-A004-43273240EE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124385</xdr:colOff>
      <xdr:row>18</xdr:row>
      <xdr:rowOff>181536</xdr:rowOff>
    </xdr:from>
    <xdr:to>
      <xdr:col>23</xdr:col>
      <xdr:colOff>233082</xdr:colOff>
      <xdr:row>36</xdr:row>
      <xdr:rowOff>39222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44457AE-486D-4159-8E73-1ECDFC0F28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741082</xdr:colOff>
      <xdr:row>1</xdr:row>
      <xdr:rowOff>63873</xdr:rowOff>
    </xdr:from>
    <xdr:to>
      <xdr:col>20</xdr:col>
      <xdr:colOff>319367</xdr:colOff>
      <xdr:row>18</xdr:row>
      <xdr:rowOff>108323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5FEB162-7DBD-4E67-83F5-AE81B90DCF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769471</xdr:colOff>
      <xdr:row>19</xdr:row>
      <xdr:rowOff>44824</xdr:rowOff>
    </xdr:from>
    <xdr:to>
      <xdr:col>20</xdr:col>
      <xdr:colOff>347756</xdr:colOff>
      <xdr:row>36</xdr:row>
      <xdr:rowOff>51921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57AC39B-EADF-429F-84DF-29EA8C4F3E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135965</xdr:colOff>
      <xdr:row>1</xdr:row>
      <xdr:rowOff>11579</xdr:rowOff>
    </xdr:from>
    <xdr:to>
      <xdr:col>22</xdr:col>
      <xdr:colOff>513603</xdr:colOff>
      <xdr:row>18</xdr:row>
      <xdr:rowOff>56029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F342A79-113D-494C-9976-F4B39EEC6B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358589</xdr:colOff>
      <xdr:row>20</xdr:row>
      <xdr:rowOff>97118</xdr:rowOff>
    </xdr:from>
    <xdr:to>
      <xdr:col>19</xdr:col>
      <xdr:colOff>392581</xdr:colOff>
      <xdr:row>37</xdr:row>
      <xdr:rowOff>141568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56DBE00-29C3-4396-84E7-C234198542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135965</xdr:colOff>
      <xdr:row>1</xdr:row>
      <xdr:rowOff>11579</xdr:rowOff>
    </xdr:from>
    <xdr:to>
      <xdr:col>22</xdr:col>
      <xdr:colOff>513603</xdr:colOff>
      <xdr:row>18</xdr:row>
      <xdr:rowOff>56029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83A488E-4D94-4EFA-A9C1-9224932D5A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358589</xdr:colOff>
      <xdr:row>20</xdr:row>
      <xdr:rowOff>97118</xdr:rowOff>
    </xdr:from>
    <xdr:to>
      <xdr:col>19</xdr:col>
      <xdr:colOff>392581</xdr:colOff>
      <xdr:row>37</xdr:row>
      <xdr:rowOff>141568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5F7950A-5514-4867-BFA9-BB81CFCBAF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225613</xdr:colOff>
      <xdr:row>1</xdr:row>
      <xdr:rowOff>4109</xdr:rowOff>
    </xdr:from>
    <xdr:to>
      <xdr:col>15</xdr:col>
      <xdr:colOff>416486</xdr:colOff>
      <xdr:row>18</xdr:row>
      <xdr:rowOff>48559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1A72CD6-7B8B-4CB8-874D-C61C690186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442260</xdr:colOff>
      <xdr:row>0</xdr:row>
      <xdr:rowOff>183403</xdr:rowOff>
    </xdr:from>
    <xdr:to>
      <xdr:col>16</xdr:col>
      <xdr:colOff>20545</xdr:colOff>
      <xdr:row>18</xdr:row>
      <xdr:rowOff>41088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AB6FC0D-5B4B-4258-BEF5-8E88A49C2F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31750</xdr:colOff>
      <xdr:row>2</xdr:row>
      <xdr:rowOff>12700</xdr:rowOff>
    </xdr:from>
    <xdr:to>
      <xdr:col>12</xdr:col>
      <xdr:colOff>508000</xdr:colOff>
      <xdr:row>19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3F45BF0-C1D7-4599-B8B9-E847F6BECF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19050</xdr:colOff>
      <xdr:row>2</xdr:row>
      <xdr:rowOff>12700</xdr:rowOff>
    </xdr:from>
    <xdr:to>
      <xdr:col>12</xdr:col>
      <xdr:colOff>495300</xdr:colOff>
      <xdr:row>19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3D62A7C-562C-4A6B-B775-429C47040B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25400</xdr:colOff>
      <xdr:row>2</xdr:row>
      <xdr:rowOff>12700</xdr:rowOff>
    </xdr:from>
    <xdr:to>
      <xdr:col>12</xdr:col>
      <xdr:colOff>501650</xdr:colOff>
      <xdr:row>19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C00F46E-551A-479E-A6B1-60257B8904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6350</xdr:colOff>
      <xdr:row>1</xdr:row>
      <xdr:rowOff>158750</xdr:rowOff>
    </xdr:from>
    <xdr:to>
      <xdr:col>12</xdr:col>
      <xdr:colOff>482600</xdr:colOff>
      <xdr:row>19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69564CD-F148-499B-8FDB-586F963523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25400</xdr:colOff>
      <xdr:row>1</xdr:row>
      <xdr:rowOff>171450</xdr:rowOff>
    </xdr:from>
    <xdr:to>
      <xdr:col>12</xdr:col>
      <xdr:colOff>501650</xdr:colOff>
      <xdr:row>19</xdr:row>
      <xdr:rowOff>31750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96620DD-BF48-40F1-9DDE-74FFD2B0EF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M19"/>
  <sheetViews>
    <sheetView topLeftCell="C1" zoomScale="85" zoomScaleNormal="85" workbookViewId="0">
      <selection activeCell="D33" sqref="D33"/>
    </sheetView>
  </sheetViews>
  <sheetFormatPr defaultRowHeight="14.5" x14ac:dyDescent="0.35"/>
  <cols>
    <col min="6" max="6" width="9.81640625" bestFit="1" customWidth="1"/>
    <col min="7" max="7" width="11.81640625" bestFit="1" customWidth="1"/>
    <col min="8" max="8" width="14.36328125" customWidth="1"/>
    <col min="9" max="9" width="10.26953125" customWidth="1"/>
    <col min="11" max="11" width="13.453125" customWidth="1"/>
    <col min="12" max="12" width="13.6328125" bestFit="1" customWidth="1"/>
  </cols>
  <sheetData>
    <row r="1" spans="2:13" x14ac:dyDescent="0.35">
      <c r="F1" t="s">
        <v>8</v>
      </c>
      <c r="G1">
        <v>80</v>
      </c>
    </row>
    <row r="2" spans="2:13" x14ac:dyDescent="0.35">
      <c r="F2" t="s">
        <v>6</v>
      </c>
      <c r="G2" t="s">
        <v>7</v>
      </c>
      <c r="H2" t="s">
        <v>9</v>
      </c>
      <c r="I2" t="s">
        <v>13</v>
      </c>
      <c r="J2" t="s">
        <v>14</v>
      </c>
      <c r="K2" t="s">
        <v>16</v>
      </c>
      <c r="L2" t="s">
        <v>18</v>
      </c>
      <c r="M2" t="s">
        <v>17</v>
      </c>
    </row>
    <row r="3" spans="2:13" x14ac:dyDescent="0.35">
      <c r="B3" t="s">
        <v>10</v>
      </c>
      <c r="C3">
        <v>90</v>
      </c>
      <c r="E3">
        <v>1.0000000000000001E-5</v>
      </c>
      <c r="F3" s="3">
        <f>E3</f>
        <v>1.0000000000000001E-5</v>
      </c>
      <c r="G3" s="2">
        <f>MAX($G$1-E3,0)</f>
        <v>79.999989999999997</v>
      </c>
      <c r="H3" s="2">
        <f>F3+G3</f>
        <v>80</v>
      </c>
      <c r="I3" s="2">
        <f>MAX(E3-$G$1,0)</f>
        <v>0</v>
      </c>
      <c r="J3" s="2">
        <f>$G$1</f>
        <v>80</v>
      </c>
      <c r="K3" s="2">
        <f>I3+J3</f>
        <v>80</v>
      </c>
      <c r="L3" s="2">
        <f>MAX($G$1-E3,0)</f>
        <v>79.999989999999997</v>
      </c>
      <c r="M3" s="2">
        <f t="shared" ref="M3:M19" si="0">BlackPutPrice(E3,$C$4,$C$5,$C$6,$C$7,$G$1)</f>
        <v>79.999989999999997</v>
      </c>
    </row>
    <row r="4" spans="2:13" x14ac:dyDescent="0.35">
      <c r="B4" t="s">
        <v>1</v>
      </c>
      <c r="C4">
        <v>0</v>
      </c>
      <c r="E4">
        <v>10</v>
      </c>
      <c r="F4" s="3">
        <f t="shared" ref="F4:F19" si="1">E4</f>
        <v>10</v>
      </c>
      <c r="G4" s="2">
        <f t="shared" ref="G4:G19" si="2">MAX($G$1-E4,0)</f>
        <v>70</v>
      </c>
      <c r="H4" s="2">
        <f t="shared" ref="H4:H19" si="3">F4+G4</f>
        <v>80</v>
      </c>
      <c r="I4" s="2">
        <f t="shared" ref="I4:I19" si="4">MAX(E4-$G$1,0)</f>
        <v>0</v>
      </c>
      <c r="J4" s="2">
        <f t="shared" ref="J4:J19" si="5">$G$1</f>
        <v>80</v>
      </c>
      <c r="K4" s="2">
        <f t="shared" ref="K4:K19" si="6">I4+J4</f>
        <v>80</v>
      </c>
      <c r="L4" s="2">
        <f t="shared" ref="L4:L19" si="7">MAX($G$1-E4,0)</f>
        <v>70</v>
      </c>
      <c r="M4" s="2">
        <f t="shared" si="0"/>
        <v>70.000000000000099</v>
      </c>
    </row>
    <row r="5" spans="2:13" x14ac:dyDescent="0.35">
      <c r="B5" t="s">
        <v>2</v>
      </c>
      <c r="C5">
        <v>0</v>
      </c>
      <c r="E5">
        <v>20</v>
      </c>
      <c r="F5" s="3">
        <f t="shared" si="1"/>
        <v>20</v>
      </c>
      <c r="G5" s="2">
        <f t="shared" si="2"/>
        <v>60</v>
      </c>
      <c r="H5" s="2">
        <f t="shared" si="3"/>
        <v>80</v>
      </c>
      <c r="I5" s="2">
        <f t="shared" si="4"/>
        <v>0</v>
      </c>
      <c r="J5" s="2">
        <f t="shared" si="5"/>
        <v>80</v>
      </c>
      <c r="K5" s="2">
        <f t="shared" si="6"/>
        <v>80</v>
      </c>
      <c r="L5" s="2">
        <f t="shared" si="7"/>
        <v>60</v>
      </c>
      <c r="M5" s="2">
        <f t="shared" si="0"/>
        <v>60.000001012645768</v>
      </c>
    </row>
    <row r="6" spans="2:13" x14ac:dyDescent="0.35">
      <c r="B6" t="s">
        <v>3</v>
      </c>
      <c r="C6">
        <v>0.2</v>
      </c>
      <c r="E6">
        <v>30</v>
      </c>
      <c r="F6" s="3">
        <f t="shared" si="1"/>
        <v>30</v>
      </c>
      <c r="G6" s="2">
        <f t="shared" si="2"/>
        <v>50</v>
      </c>
      <c r="H6" s="2">
        <f t="shared" si="3"/>
        <v>80</v>
      </c>
      <c r="I6" s="2">
        <f t="shared" si="4"/>
        <v>0</v>
      </c>
      <c r="J6" s="2">
        <f t="shared" si="5"/>
        <v>80</v>
      </c>
      <c r="K6" s="2">
        <f t="shared" si="6"/>
        <v>80</v>
      </c>
      <c r="L6" s="2">
        <f t="shared" si="7"/>
        <v>50</v>
      </c>
      <c r="M6" s="2">
        <f t="shared" si="0"/>
        <v>50.000912649739256</v>
      </c>
    </row>
    <row r="7" spans="2:13" x14ac:dyDescent="0.35">
      <c r="B7" t="s">
        <v>11</v>
      </c>
      <c r="C7">
        <v>2</v>
      </c>
      <c r="E7">
        <v>40</v>
      </c>
      <c r="F7" s="3">
        <f t="shared" si="1"/>
        <v>40</v>
      </c>
      <c r="G7" s="2">
        <f t="shared" si="2"/>
        <v>40</v>
      </c>
      <c r="H7" s="2">
        <f t="shared" si="3"/>
        <v>80</v>
      </c>
      <c r="I7" s="2">
        <f t="shared" si="4"/>
        <v>0</v>
      </c>
      <c r="J7" s="2">
        <f t="shared" si="5"/>
        <v>80</v>
      </c>
      <c r="K7" s="2">
        <f t="shared" si="6"/>
        <v>80</v>
      </c>
      <c r="L7" s="2">
        <f t="shared" si="7"/>
        <v>40</v>
      </c>
      <c r="M7" s="2">
        <f t="shared" si="0"/>
        <v>40.037018009584621</v>
      </c>
    </row>
    <row r="8" spans="2:13" x14ac:dyDescent="0.35">
      <c r="E8">
        <v>50</v>
      </c>
      <c r="F8" s="3">
        <f t="shared" si="1"/>
        <v>50</v>
      </c>
      <c r="G8" s="2">
        <f t="shared" si="2"/>
        <v>30</v>
      </c>
      <c r="H8" s="2">
        <f t="shared" si="3"/>
        <v>80</v>
      </c>
      <c r="I8" s="2">
        <f t="shared" si="4"/>
        <v>0</v>
      </c>
      <c r="J8" s="2">
        <f t="shared" si="5"/>
        <v>80</v>
      </c>
      <c r="K8" s="2">
        <f t="shared" si="6"/>
        <v>80</v>
      </c>
      <c r="L8" s="2">
        <f t="shared" si="7"/>
        <v>30</v>
      </c>
      <c r="M8" s="2">
        <f t="shared" si="0"/>
        <v>30.356257664221786</v>
      </c>
    </row>
    <row r="9" spans="2:13" x14ac:dyDescent="0.35">
      <c r="B9" t="s">
        <v>12</v>
      </c>
      <c r="C9" s="1">
        <f>BlackPutPrice(C3,C4,C5,C6,C7,G1)</f>
        <v>5.3698188298031511</v>
      </c>
      <c r="E9">
        <v>60</v>
      </c>
      <c r="F9" s="3">
        <f t="shared" si="1"/>
        <v>60</v>
      </c>
      <c r="G9" s="2">
        <f t="shared" si="2"/>
        <v>20</v>
      </c>
      <c r="H9" s="2">
        <f t="shared" si="3"/>
        <v>80</v>
      </c>
      <c r="I9" s="2">
        <f t="shared" si="4"/>
        <v>0</v>
      </c>
      <c r="J9" s="2">
        <f t="shared" si="5"/>
        <v>80</v>
      </c>
      <c r="K9" s="2">
        <f t="shared" si="6"/>
        <v>80</v>
      </c>
      <c r="L9" s="2">
        <f t="shared" si="7"/>
        <v>20</v>
      </c>
      <c r="M9" s="2">
        <f t="shared" si="0"/>
        <v>21.570089090741675</v>
      </c>
    </row>
    <row r="10" spans="2:13" x14ac:dyDescent="0.35">
      <c r="E10">
        <v>70</v>
      </c>
      <c r="F10" s="3">
        <f t="shared" si="1"/>
        <v>70</v>
      </c>
      <c r="G10" s="2">
        <f t="shared" si="2"/>
        <v>10</v>
      </c>
      <c r="H10" s="2">
        <f t="shared" si="3"/>
        <v>80</v>
      </c>
      <c r="I10" s="2">
        <f t="shared" si="4"/>
        <v>0</v>
      </c>
      <c r="J10" s="2">
        <f t="shared" si="5"/>
        <v>80</v>
      </c>
      <c r="K10" s="2">
        <f t="shared" si="6"/>
        <v>80</v>
      </c>
      <c r="L10" s="2">
        <f t="shared" si="7"/>
        <v>10</v>
      </c>
      <c r="M10" s="2">
        <f t="shared" si="0"/>
        <v>14.349786595110558</v>
      </c>
    </row>
    <row r="11" spans="2:13" x14ac:dyDescent="0.35">
      <c r="E11">
        <v>80</v>
      </c>
      <c r="F11" s="3">
        <f t="shared" si="1"/>
        <v>80</v>
      </c>
      <c r="G11" s="2">
        <f t="shared" si="2"/>
        <v>0</v>
      </c>
      <c r="H11" s="2">
        <f t="shared" si="3"/>
        <v>80</v>
      </c>
      <c r="I11" s="2">
        <f t="shared" si="4"/>
        <v>0</v>
      </c>
      <c r="J11" s="2">
        <f t="shared" si="5"/>
        <v>80</v>
      </c>
      <c r="K11" s="2">
        <f>I11+J11</f>
        <v>80</v>
      </c>
      <c r="L11" s="2">
        <f t="shared" si="7"/>
        <v>0</v>
      </c>
      <c r="M11" s="2">
        <f t="shared" si="0"/>
        <v>8.997033281462798</v>
      </c>
    </row>
    <row r="12" spans="2:13" x14ac:dyDescent="0.35">
      <c r="E12">
        <v>90</v>
      </c>
      <c r="F12" s="3">
        <f t="shared" si="1"/>
        <v>90</v>
      </c>
      <c r="G12" s="2">
        <f t="shared" si="2"/>
        <v>0</v>
      </c>
      <c r="H12" s="2">
        <f t="shared" si="3"/>
        <v>90</v>
      </c>
      <c r="I12" s="2">
        <f t="shared" si="4"/>
        <v>10</v>
      </c>
      <c r="J12" s="2">
        <f t="shared" si="5"/>
        <v>80</v>
      </c>
      <c r="K12" s="2">
        <f t="shared" si="6"/>
        <v>90</v>
      </c>
      <c r="L12" s="2">
        <f t="shared" si="7"/>
        <v>0</v>
      </c>
      <c r="M12" s="2">
        <f t="shared" si="0"/>
        <v>5.3698188298031511</v>
      </c>
    </row>
    <row r="13" spans="2:13" x14ac:dyDescent="0.35">
      <c r="E13">
        <v>100</v>
      </c>
      <c r="F13" s="3">
        <f t="shared" si="1"/>
        <v>100</v>
      </c>
      <c r="G13" s="2">
        <f t="shared" si="2"/>
        <v>0</v>
      </c>
      <c r="H13" s="2">
        <f t="shared" si="3"/>
        <v>100</v>
      </c>
      <c r="I13" s="2">
        <f t="shared" si="4"/>
        <v>20</v>
      </c>
      <c r="J13" s="2">
        <f t="shared" si="5"/>
        <v>80</v>
      </c>
      <c r="K13" s="2">
        <f t="shared" si="6"/>
        <v>100</v>
      </c>
      <c r="L13" s="2">
        <f t="shared" si="7"/>
        <v>0</v>
      </c>
      <c r="M13" s="2">
        <f t="shared" si="0"/>
        <v>3.0826523017186069</v>
      </c>
    </row>
    <row r="14" spans="2:13" x14ac:dyDescent="0.35">
      <c r="E14">
        <v>110</v>
      </c>
      <c r="F14" s="3">
        <f t="shared" si="1"/>
        <v>110</v>
      </c>
      <c r="G14" s="2">
        <f t="shared" si="2"/>
        <v>0</v>
      </c>
      <c r="H14" s="2">
        <f t="shared" si="3"/>
        <v>110</v>
      </c>
      <c r="I14" s="2">
        <f t="shared" si="4"/>
        <v>30</v>
      </c>
      <c r="J14" s="2">
        <f t="shared" si="5"/>
        <v>80</v>
      </c>
      <c r="K14" s="2">
        <f t="shared" si="6"/>
        <v>110</v>
      </c>
      <c r="L14" s="2">
        <f t="shared" si="7"/>
        <v>0</v>
      </c>
      <c r="M14" s="2">
        <f t="shared" si="0"/>
        <v>1.7179866762931848</v>
      </c>
    </row>
    <row r="15" spans="2:13" x14ac:dyDescent="0.35">
      <c r="E15">
        <v>120</v>
      </c>
      <c r="F15" s="3">
        <f t="shared" si="1"/>
        <v>120</v>
      </c>
      <c r="G15" s="2">
        <f t="shared" si="2"/>
        <v>0</v>
      </c>
      <c r="H15" s="2">
        <f t="shared" si="3"/>
        <v>120</v>
      </c>
      <c r="I15" s="2">
        <f t="shared" si="4"/>
        <v>40</v>
      </c>
      <c r="J15" s="2">
        <f t="shared" si="5"/>
        <v>80</v>
      </c>
      <c r="K15" s="2">
        <f t="shared" si="6"/>
        <v>120</v>
      </c>
      <c r="L15" s="2">
        <f t="shared" si="7"/>
        <v>0</v>
      </c>
      <c r="M15" s="2">
        <f t="shared" si="0"/>
        <v>0.93672053102487229</v>
      </c>
    </row>
    <row r="16" spans="2:13" x14ac:dyDescent="0.35">
      <c r="E16">
        <v>130</v>
      </c>
      <c r="F16" s="3">
        <f t="shared" si="1"/>
        <v>130</v>
      </c>
      <c r="G16" s="2">
        <f t="shared" si="2"/>
        <v>0</v>
      </c>
      <c r="H16" s="2">
        <f t="shared" si="3"/>
        <v>130</v>
      </c>
      <c r="I16" s="2">
        <f t="shared" si="4"/>
        <v>50</v>
      </c>
      <c r="J16" s="2">
        <f t="shared" si="5"/>
        <v>80</v>
      </c>
      <c r="K16" s="2">
        <f t="shared" si="6"/>
        <v>130</v>
      </c>
      <c r="L16" s="2">
        <f t="shared" si="7"/>
        <v>0</v>
      </c>
      <c r="M16" s="2">
        <f t="shared" si="0"/>
        <v>0.50281981162715095</v>
      </c>
    </row>
    <row r="17" spans="5:13" x14ac:dyDescent="0.35">
      <c r="E17">
        <v>140</v>
      </c>
      <c r="F17" s="3">
        <f t="shared" si="1"/>
        <v>140</v>
      </c>
      <c r="G17" s="2">
        <f t="shared" si="2"/>
        <v>0</v>
      </c>
      <c r="H17" s="2">
        <f t="shared" si="3"/>
        <v>140</v>
      </c>
      <c r="I17" s="2">
        <f t="shared" si="4"/>
        <v>60</v>
      </c>
      <c r="J17" s="2">
        <f t="shared" si="5"/>
        <v>80</v>
      </c>
      <c r="K17" s="2">
        <f t="shared" si="6"/>
        <v>140</v>
      </c>
      <c r="L17" s="2">
        <f t="shared" si="7"/>
        <v>0</v>
      </c>
      <c r="M17" s="2">
        <f t="shared" si="0"/>
        <v>0.26704399350040431</v>
      </c>
    </row>
    <row r="18" spans="5:13" x14ac:dyDescent="0.35">
      <c r="E18">
        <v>150</v>
      </c>
      <c r="F18" s="3">
        <f t="shared" si="1"/>
        <v>150</v>
      </c>
      <c r="G18" s="2">
        <f t="shared" si="2"/>
        <v>0</v>
      </c>
      <c r="H18" s="2">
        <f t="shared" si="3"/>
        <v>150</v>
      </c>
      <c r="I18" s="2">
        <f t="shared" si="4"/>
        <v>70</v>
      </c>
      <c r="J18" s="2">
        <f t="shared" si="5"/>
        <v>80</v>
      </c>
      <c r="K18" s="2">
        <f t="shared" si="6"/>
        <v>150</v>
      </c>
      <c r="L18" s="2">
        <f t="shared" si="7"/>
        <v>0</v>
      </c>
      <c r="M18" s="2">
        <f t="shared" si="0"/>
        <v>0.14086952838732025</v>
      </c>
    </row>
    <row r="19" spans="5:13" x14ac:dyDescent="0.35">
      <c r="E19">
        <v>160</v>
      </c>
      <c r="F19" s="3">
        <f t="shared" si="1"/>
        <v>160</v>
      </c>
      <c r="G19" s="2">
        <f t="shared" si="2"/>
        <v>0</v>
      </c>
      <c r="H19" s="2">
        <f t="shared" si="3"/>
        <v>160</v>
      </c>
      <c r="I19" s="2">
        <f t="shared" si="4"/>
        <v>80</v>
      </c>
      <c r="J19" s="2">
        <f t="shared" si="5"/>
        <v>80</v>
      </c>
      <c r="K19" s="2">
        <f t="shared" si="6"/>
        <v>160</v>
      </c>
      <c r="L19" s="2">
        <f t="shared" si="7"/>
        <v>0</v>
      </c>
      <c r="M19" s="2">
        <f t="shared" si="0"/>
        <v>7.4036019169238965E-2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M19"/>
  <sheetViews>
    <sheetView topLeftCell="H1" zoomScale="85" zoomScaleNormal="85" workbookViewId="0">
      <selection activeCell="K19" sqref="K19"/>
    </sheetView>
  </sheetViews>
  <sheetFormatPr defaultRowHeight="14.5" x14ac:dyDescent="0.35"/>
  <cols>
    <col min="6" max="6" width="9.81640625" bestFit="1" customWidth="1"/>
    <col min="7" max="7" width="11.81640625" bestFit="1" customWidth="1"/>
    <col min="8" max="8" width="14.36328125" customWidth="1"/>
    <col min="9" max="9" width="10.26953125" customWidth="1"/>
    <col min="10" max="10" width="11.1796875" customWidth="1"/>
    <col min="11" max="11" width="15.26953125" customWidth="1"/>
    <col min="12" max="12" width="13.6328125" bestFit="1" customWidth="1"/>
  </cols>
  <sheetData>
    <row r="1" spans="2:13" x14ac:dyDescent="0.35">
      <c r="F1" t="s">
        <v>8</v>
      </c>
      <c r="G1">
        <v>110</v>
      </c>
    </row>
    <row r="2" spans="2:13" x14ac:dyDescent="0.35">
      <c r="F2" t="s">
        <v>6</v>
      </c>
      <c r="G2" t="s">
        <v>19</v>
      </c>
      <c r="H2" t="s">
        <v>15</v>
      </c>
      <c r="I2" t="s">
        <v>20</v>
      </c>
      <c r="J2" t="s">
        <v>14</v>
      </c>
      <c r="K2" t="s">
        <v>21</v>
      </c>
      <c r="L2" t="s">
        <v>18</v>
      </c>
      <c r="M2" t="s">
        <v>17</v>
      </c>
    </row>
    <row r="3" spans="2:13" x14ac:dyDescent="0.35">
      <c r="B3" t="s">
        <v>10</v>
      </c>
      <c r="C3">
        <v>90</v>
      </c>
      <c r="E3">
        <v>0</v>
      </c>
      <c r="F3" s="3">
        <f>E3</f>
        <v>0</v>
      </c>
      <c r="G3" s="2">
        <f>-MAX(E3-$G$1,0)</f>
        <v>0</v>
      </c>
      <c r="H3" s="2">
        <f>F3+G3</f>
        <v>0</v>
      </c>
      <c r="I3" s="2">
        <f>-MAX($G$1-E3,0)</f>
        <v>-110</v>
      </c>
      <c r="J3" s="2">
        <f>$G$1</f>
        <v>110</v>
      </c>
      <c r="K3" s="2">
        <f>I3+J3</f>
        <v>0</v>
      </c>
      <c r="L3" s="2">
        <f>MAX($G$1-E3,0)</f>
        <v>110</v>
      </c>
      <c r="M3" s="2" t="e">
        <f t="shared" ref="M3:M19" si="0">BlackPutPrice(E3,$C$4,$C$5,$C$6,$C$7,$G$1)</f>
        <v>#VALUE!</v>
      </c>
    </row>
    <row r="4" spans="2:13" x14ac:dyDescent="0.35">
      <c r="B4" t="s">
        <v>1</v>
      </c>
      <c r="C4">
        <v>0</v>
      </c>
      <c r="E4">
        <v>10</v>
      </c>
      <c r="F4" s="3">
        <f t="shared" ref="F4:F19" si="1">E4</f>
        <v>10</v>
      </c>
      <c r="G4" s="2">
        <f t="shared" ref="G4:G19" si="2">-MAX(E4-$G$1,0)</f>
        <v>0</v>
      </c>
      <c r="H4" s="2">
        <f t="shared" ref="H4:H19" si="3">F4+G4</f>
        <v>10</v>
      </c>
      <c r="I4" s="2">
        <f t="shared" ref="I4:I19" si="4">-MAX($G$1-E4,0)</f>
        <v>-100</v>
      </c>
      <c r="J4" s="2">
        <f t="shared" ref="J4:J19" si="5">$G$1</f>
        <v>110</v>
      </c>
      <c r="K4" s="2">
        <f t="shared" ref="K4:K19" si="6">I4+J4</f>
        <v>10</v>
      </c>
      <c r="L4" s="2">
        <f t="shared" ref="L4:L19" si="7">MAX($G$1-E4,0)</f>
        <v>100</v>
      </c>
      <c r="M4" s="2">
        <f t="shared" si="0"/>
        <v>100</v>
      </c>
    </row>
    <row r="5" spans="2:13" x14ac:dyDescent="0.35">
      <c r="B5" t="s">
        <v>2</v>
      </c>
      <c r="C5">
        <v>0</v>
      </c>
      <c r="E5">
        <v>20</v>
      </c>
      <c r="F5" s="3">
        <f t="shared" si="1"/>
        <v>20</v>
      </c>
      <c r="G5" s="2">
        <f t="shared" si="2"/>
        <v>0</v>
      </c>
      <c r="H5" s="2">
        <f t="shared" si="3"/>
        <v>20</v>
      </c>
      <c r="I5" s="2">
        <f t="shared" si="4"/>
        <v>-90</v>
      </c>
      <c r="J5" s="2">
        <f t="shared" si="5"/>
        <v>110</v>
      </c>
      <c r="K5" s="2">
        <f t="shared" si="6"/>
        <v>20</v>
      </c>
      <c r="L5" s="2">
        <f t="shared" si="7"/>
        <v>90</v>
      </c>
      <c r="M5" s="2">
        <f t="shared" si="0"/>
        <v>90.000000001730044</v>
      </c>
    </row>
    <row r="6" spans="2:13" x14ac:dyDescent="0.35">
      <c r="B6" t="s">
        <v>3</v>
      </c>
      <c r="C6">
        <v>0.2</v>
      </c>
      <c r="E6">
        <v>30</v>
      </c>
      <c r="F6" s="3">
        <f t="shared" si="1"/>
        <v>30</v>
      </c>
      <c r="G6" s="2">
        <f t="shared" si="2"/>
        <v>0</v>
      </c>
      <c r="H6" s="2">
        <f t="shared" si="3"/>
        <v>30</v>
      </c>
      <c r="I6" s="2">
        <f t="shared" si="4"/>
        <v>-80</v>
      </c>
      <c r="J6" s="2">
        <f t="shared" si="5"/>
        <v>110</v>
      </c>
      <c r="K6" s="2">
        <f t="shared" si="6"/>
        <v>30</v>
      </c>
      <c r="L6" s="2">
        <f t="shared" si="7"/>
        <v>80</v>
      </c>
      <c r="M6" s="2">
        <f t="shared" si="0"/>
        <v>80.000007037480131</v>
      </c>
    </row>
    <row r="7" spans="2:13" x14ac:dyDescent="0.35">
      <c r="B7" t="s">
        <v>11</v>
      </c>
      <c r="C7">
        <v>2</v>
      </c>
      <c r="E7">
        <v>40</v>
      </c>
      <c r="F7" s="3">
        <f t="shared" si="1"/>
        <v>40</v>
      </c>
      <c r="G7" s="2">
        <f t="shared" si="2"/>
        <v>0</v>
      </c>
      <c r="H7" s="2">
        <f t="shared" si="3"/>
        <v>40</v>
      </c>
      <c r="I7" s="2">
        <f t="shared" si="4"/>
        <v>-70</v>
      </c>
      <c r="J7" s="2">
        <f t="shared" si="5"/>
        <v>110</v>
      </c>
      <c r="K7" s="2">
        <f t="shared" si="6"/>
        <v>40</v>
      </c>
      <c r="L7" s="2">
        <f t="shared" si="7"/>
        <v>70</v>
      </c>
      <c r="M7" s="2">
        <f t="shared" si="0"/>
        <v>70.00079985504874</v>
      </c>
    </row>
    <row r="8" spans="2:13" x14ac:dyDescent="0.35">
      <c r="E8">
        <v>50</v>
      </c>
      <c r="F8" s="3">
        <f t="shared" si="1"/>
        <v>50</v>
      </c>
      <c r="G8" s="2">
        <f t="shared" si="2"/>
        <v>0</v>
      </c>
      <c r="H8" s="2">
        <f t="shared" si="3"/>
        <v>50</v>
      </c>
      <c r="I8" s="2">
        <f t="shared" si="4"/>
        <v>-60</v>
      </c>
      <c r="J8" s="2">
        <f t="shared" si="5"/>
        <v>110</v>
      </c>
      <c r="K8" s="2">
        <f t="shared" si="6"/>
        <v>50</v>
      </c>
      <c r="L8" s="2">
        <f t="shared" si="7"/>
        <v>60</v>
      </c>
      <c r="M8" s="2">
        <f t="shared" si="0"/>
        <v>60.016499948791363</v>
      </c>
    </row>
    <row r="9" spans="2:13" x14ac:dyDescent="0.35">
      <c r="B9" t="s">
        <v>12</v>
      </c>
      <c r="C9" s="1">
        <f>BlackPutPrice(C3,C4,C5,C6,C7,G1)</f>
        <v>23.934453344037223</v>
      </c>
      <c r="E9">
        <v>60</v>
      </c>
      <c r="F9" s="3">
        <f t="shared" si="1"/>
        <v>60</v>
      </c>
      <c r="G9" s="2">
        <f t="shared" si="2"/>
        <v>0</v>
      </c>
      <c r="H9" s="2">
        <f t="shared" si="3"/>
        <v>60</v>
      </c>
      <c r="I9" s="2">
        <f t="shared" si="4"/>
        <v>-50</v>
      </c>
      <c r="J9" s="2">
        <f t="shared" si="5"/>
        <v>110</v>
      </c>
      <c r="K9" s="2">
        <f t="shared" si="6"/>
        <v>60</v>
      </c>
      <c r="L9" s="2">
        <f t="shared" si="7"/>
        <v>50</v>
      </c>
      <c r="M9" s="2">
        <f t="shared" si="0"/>
        <v>50.13082915323622</v>
      </c>
    </row>
    <row r="10" spans="2:13" x14ac:dyDescent="0.35">
      <c r="E10">
        <v>70</v>
      </c>
      <c r="F10" s="3">
        <f t="shared" si="1"/>
        <v>70</v>
      </c>
      <c r="G10" s="2">
        <f t="shared" si="2"/>
        <v>0</v>
      </c>
      <c r="H10" s="2">
        <f t="shared" si="3"/>
        <v>70</v>
      </c>
      <c r="I10" s="2">
        <f t="shared" si="4"/>
        <v>-40</v>
      </c>
      <c r="J10" s="2">
        <f t="shared" si="5"/>
        <v>110</v>
      </c>
      <c r="K10" s="2">
        <f t="shared" si="6"/>
        <v>70</v>
      </c>
      <c r="L10" s="2">
        <f t="shared" si="7"/>
        <v>40</v>
      </c>
      <c r="M10" s="2">
        <f t="shared" si="0"/>
        <v>40.575308329858373</v>
      </c>
    </row>
    <row r="11" spans="2:13" x14ac:dyDescent="0.35">
      <c r="E11">
        <v>80</v>
      </c>
      <c r="F11" s="3">
        <f t="shared" si="1"/>
        <v>80</v>
      </c>
      <c r="G11" s="2">
        <f t="shared" si="2"/>
        <v>0</v>
      </c>
      <c r="H11" s="2">
        <f t="shared" si="3"/>
        <v>80</v>
      </c>
      <c r="I11" s="2">
        <f t="shared" si="4"/>
        <v>-30</v>
      </c>
      <c r="J11" s="2">
        <f t="shared" si="5"/>
        <v>110</v>
      </c>
      <c r="K11" s="2">
        <f>I11+J11</f>
        <v>80</v>
      </c>
      <c r="L11" s="2">
        <f t="shared" si="7"/>
        <v>30</v>
      </c>
      <c r="M11" s="2">
        <f t="shared" si="0"/>
        <v>31.717986676293179</v>
      </c>
    </row>
    <row r="12" spans="2:13" x14ac:dyDescent="0.35">
      <c r="E12">
        <v>90</v>
      </c>
      <c r="F12" s="3">
        <f t="shared" si="1"/>
        <v>90</v>
      </c>
      <c r="G12" s="2">
        <f t="shared" si="2"/>
        <v>0</v>
      </c>
      <c r="H12" s="2">
        <f t="shared" si="3"/>
        <v>90</v>
      </c>
      <c r="I12" s="2">
        <f t="shared" si="4"/>
        <v>-20</v>
      </c>
      <c r="J12" s="2">
        <f t="shared" si="5"/>
        <v>110</v>
      </c>
      <c r="K12" s="2">
        <f t="shared" si="6"/>
        <v>90</v>
      </c>
      <c r="L12" s="2">
        <f t="shared" si="7"/>
        <v>20</v>
      </c>
      <c r="M12" s="2">
        <f t="shared" si="0"/>
        <v>23.934453344037223</v>
      </c>
    </row>
    <row r="13" spans="2:13" x14ac:dyDescent="0.35">
      <c r="E13">
        <v>100</v>
      </c>
      <c r="F13" s="3">
        <f t="shared" si="1"/>
        <v>100</v>
      </c>
      <c r="G13" s="2">
        <f t="shared" si="2"/>
        <v>0</v>
      </c>
      <c r="H13" s="2">
        <f t="shared" si="3"/>
        <v>100</v>
      </c>
      <c r="I13" s="2">
        <f t="shared" si="4"/>
        <v>-10</v>
      </c>
      <c r="J13" s="2">
        <f t="shared" si="5"/>
        <v>110</v>
      </c>
      <c r="K13" s="2">
        <f t="shared" si="6"/>
        <v>100</v>
      </c>
      <c r="L13" s="2">
        <f t="shared" si="7"/>
        <v>10</v>
      </c>
      <c r="M13" s="2">
        <f t="shared" si="0"/>
        <v>17.467730366014841</v>
      </c>
    </row>
    <row r="14" spans="2:13" x14ac:dyDescent="0.35">
      <c r="E14">
        <v>110</v>
      </c>
      <c r="F14" s="3">
        <f t="shared" si="1"/>
        <v>110</v>
      </c>
      <c r="G14" s="2">
        <f t="shared" si="2"/>
        <v>0</v>
      </c>
      <c r="H14" s="2">
        <f t="shared" si="3"/>
        <v>110</v>
      </c>
      <c r="I14" s="2">
        <f t="shared" si="4"/>
        <v>0</v>
      </c>
      <c r="J14" s="2">
        <f t="shared" si="5"/>
        <v>110</v>
      </c>
      <c r="K14" s="2">
        <f t="shared" si="6"/>
        <v>110</v>
      </c>
      <c r="L14" s="2">
        <f t="shared" si="7"/>
        <v>0</v>
      </c>
      <c r="M14" s="2">
        <f t="shared" si="0"/>
        <v>12.370920762011352</v>
      </c>
    </row>
    <row r="15" spans="2:13" x14ac:dyDescent="0.35">
      <c r="E15">
        <v>120</v>
      </c>
      <c r="F15" s="3">
        <f t="shared" si="1"/>
        <v>120</v>
      </c>
      <c r="G15" s="2">
        <f t="shared" si="2"/>
        <v>-10</v>
      </c>
      <c r="H15" s="2">
        <f t="shared" si="3"/>
        <v>110</v>
      </c>
      <c r="I15" s="2">
        <f t="shared" si="4"/>
        <v>0</v>
      </c>
      <c r="J15" s="2">
        <f t="shared" si="5"/>
        <v>110</v>
      </c>
      <c r="K15" s="2">
        <f t="shared" si="6"/>
        <v>110</v>
      </c>
      <c r="L15" s="2">
        <f t="shared" si="7"/>
        <v>0</v>
      </c>
      <c r="M15" s="2">
        <f t="shared" si="0"/>
        <v>8.5359250646628766</v>
      </c>
    </row>
    <row r="16" spans="2:13" x14ac:dyDescent="0.35">
      <c r="E16">
        <v>130</v>
      </c>
      <c r="F16" s="3">
        <f t="shared" si="1"/>
        <v>130</v>
      </c>
      <c r="G16" s="2">
        <f t="shared" si="2"/>
        <v>-20</v>
      </c>
      <c r="H16" s="2">
        <f t="shared" si="3"/>
        <v>110</v>
      </c>
      <c r="I16" s="2">
        <f t="shared" si="4"/>
        <v>0</v>
      </c>
      <c r="J16" s="2">
        <f t="shared" si="5"/>
        <v>110</v>
      </c>
      <c r="K16" s="2">
        <f t="shared" si="6"/>
        <v>110</v>
      </c>
      <c r="L16" s="2">
        <f t="shared" si="7"/>
        <v>0</v>
      </c>
      <c r="M16" s="2">
        <f t="shared" si="0"/>
        <v>5.7615439348660686</v>
      </c>
    </row>
    <row r="17" spans="5:13" x14ac:dyDescent="0.35">
      <c r="E17">
        <v>140</v>
      </c>
      <c r="F17" s="3">
        <f t="shared" si="1"/>
        <v>140</v>
      </c>
      <c r="G17" s="2">
        <f t="shared" si="2"/>
        <v>-30</v>
      </c>
      <c r="H17" s="2">
        <f t="shared" si="3"/>
        <v>110</v>
      </c>
      <c r="I17" s="2">
        <f t="shared" si="4"/>
        <v>0</v>
      </c>
      <c r="J17" s="2">
        <f t="shared" si="5"/>
        <v>110</v>
      </c>
      <c r="K17" s="2">
        <f t="shared" si="6"/>
        <v>110</v>
      </c>
      <c r="L17" s="2">
        <f t="shared" si="7"/>
        <v>0</v>
      </c>
      <c r="M17" s="2">
        <f t="shared" si="0"/>
        <v>3.8186718261550858</v>
      </c>
    </row>
    <row r="18" spans="5:13" x14ac:dyDescent="0.35">
      <c r="E18">
        <v>150</v>
      </c>
      <c r="F18" s="3">
        <f t="shared" si="1"/>
        <v>150</v>
      </c>
      <c r="G18" s="2">
        <f t="shared" si="2"/>
        <v>-40</v>
      </c>
      <c r="H18" s="2">
        <f t="shared" si="3"/>
        <v>110</v>
      </c>
      <c r="I18" s="2">
        <f t="shared" si="4"/>
        <v>0</v>
      </c>
      <c r="J18" s="2">
        <f t="shared" si="5"/>
        <v>110</v>
      </c>
      <c r="K18" s="2">
        <f t="shared" si="6"/>
        <v>110</v>
      </c>
      <c r="L18" s="2">
        <f t="shared" si="7"/>
        <v>0</v>
      </c>
      <c r="M18" s="2">
        <f t="shared" si="0"/>
        <v>2.4936943495448531</v>
      </c>
    </row>
    <row r="19" spans="5:13" x14ac:dyDescent="0.35">
      <c r="E19">
        <v>160</v>
      </c>
      <c r="F19" s="3">
        <f t="shared" si="1"/>
        <v>160</v>
      </c>
      <c r="G19" s="2">
        <f t="shared" si="2"/>
        <v>-50</v>
      </c>
      <c r="H19" s="2">
        <f t="shared" si="3"/>
        <v>110</v>
      </c>
      <c r="I19" s="2">
        <f t="shared" si="4"/>
        <v>0</v>
      </c>
      <c r="J19" s="2">
        <f t="shared" si="5"/>
        <v>110</v>
      </c>
      <c r="K19" s="2">
        <f t="shared" si="6"/>
        <v>110</v>
      </c>
      <c r="L19" s="2">
        <f t="shared" si="7"/>
        <v>0</v>
      </c>
      <c r="M19" s="2">
        <f t="shared" si="0"/>
        <v>1.6092120778819403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1:M19"/>
  <sheetViews>
    <sheetView topLeftCell="I1" zoomScale="85" zoomScaleNormal="85" workbookViewId="0">
      <selection activeCell="N14" sqref="N14"/>
    </sheetView>
  </sheetViews>
  <sheetFormatPr defaultRowHeight="14.5" x14ac:dyDescent="0.35"/>
  <cols>
    <col min="6" max="6" width="9.81640625" bestFit="1" customWidth="1"/>
    <col min="7" max="7" width="11.81640625" bestFit="1" customWidth="1"/>
    <col min="8" max="8" width="14.36328125" customWidth="1"/>
    <col min="9" max="9" width="10.26953125" customWidth="1"/>
    <col min="10" max="10" width="11.1796875" customWidth="1"/>
    <col min="11" max="11" width="15.26953125" customWidth="1"/>
    <col min="12" max="12" width="13.6328125" bestFit="1" customWidth="1"/>
  </cols>
  <sheetData>
    <row r="1" spans="2:13" x14ac:dyDescent="0.35">
      <c r="E1" t="s">
        <v>8</v>
      </c>
      <c r="F1">
        <v>80</v>
      </c>
      <c r="G1">
        <v>110</v>
      </c>
      <c r="I1">
        <v>110</v>
      </c>
      <c r="J1">
        <v>80</v>
      </c>
    </row>
    <row r="2" spans="2:13" x14ac:dyDescent="0.35">
      <c r="F2" t="s">
        <v>13</v>
      </c>
      <c r="G2" t="s">
        <v>19</v>
      </c>
      <c r="H2" t="s">
        <v>22</v>
      </c>
      <c r="I2" t="s">
        <v>7</v>
      </c>
      <c r="J2" t="s">
        <v>20</v>
      </c>
      <c r="K2" t="s">
        <v>23</v>
      </c>
    </row>
    <row r="3" spans="2:13" x14ac:dyDescent="0.35">
      <c r="B3" t="s">
        <v>10</v>
      </c>
      <c r="C3">
        <v>90</v>
      </c>
      <c r="E3">
        <v>0</v>
      </c>
      <c r="F3" s="3">
        <f>MAX(E3-$F$1,0)</f>
        <v>0</v>
      </c>
      <c r="G3" s="3">
        <f>-MAX(E3-$G$1,0)</f>
        <v>0</v>
      </c>
      <c r="H3" s="2">
        <f t="shared" ref="H3:H19" si="0">F3+G3</f>
        <v>0</v>
      </c>
      <c r="I3" s="3">
        <f>MAX($I$1-E3,0)</f>
        <v>110</v>
      </c>
      <c r="J3" s="3">
        <f>-MAX($J$1-E3,0)</f>
        <v>-80</v>
      </c>
      <c r="K3" s="3">
        <f>I3+J3</f>
        <v>30</v>
      </c>
      <c r="L3" s="3"/>
      <c r="M3" s="3"/>
    </row>
    <row r="4" spans="2:13" x14ac:dyDescent="0.35">
      <c r="B4" t="s">
        <v>1</v>
      </c>
      <c r="C4">
        <v>0</v>
      </c>
      <c r="E4">
        <v>10</v>
      </c>
      <c r="F4" s="3">
        <f t="shared" ref="F4:F19" si="1">MAX(E4-$F$1,0)</f>
        <v>0</v>
      </c>
      <c r="G4" s="3">
        <f t="shared" ref="G4:G19" si="2">-MAX(E4-$G$1,0)</f>
        <v>0</v>
      </c>
      <c r="H4" s="2">
        <f t="shared" si="0"/>
        <v>0</v>
      </c>
      <c r="I4" s="3">
        <f t="shared" ref="I4:I19" si="3">MAX($I$1-E4,0)</f>
        <v>100</v>
      </c>
      <c r="J4" s="3">
        <f t="shared" ref="J4:J19" si="4">-MAX($J$1-E4,0)</f>
        <v>-70</v>
      </c>
      <c r="K4" s="3">
        <f t="shared" ref="K4:K19" si="5">I4+J4</f>
        <v>30</v>
      </c>
      <c r="L4" s="3"/>
      <c r="M4" s="3"/>
    </row>
    <row r="5" spans="2:13" x14ac:dyDescent="0.35">
      <c r="B5" t="s">
        <v>2</v>
      </c>
      <c r="C5">
        <v>0</v>
      </c>
      <c r="E5">
        <v>20</v>
      </c>
      <c r="F5" s="3">
        <f t="shared" si="1"/>
        <v>0</v>
      </c>
      <c r="G5" s="3">
        <f t="shared" si="2"/>
        <v>0</v>
      </c>
      <c r="H5" s="2">
        <f t="shared" si="0"/>
        <v>0</v>
      </c>
      <c r="I5" s="3">
        <f t="shared" si="3"/>
        <v>90</v>
      </c>
      <c r="J5" s="3">
        <f t="shared" si="4"/>
        <v>-60</v>
      </c>
      <c r="K5" s="3">
        <f t="shared" si="5"/>
        <v>30</v>
      </c>
      <c r="L5" s="3"/>
      <c r="M5" s="3"/>
    </row>
    <row r="6" spans="2:13" x14ac:dyDescent="0.35">
      <c r="B6" t="s">
        <v>3</v>
      </c>
      <c r="C6">
        <v>0.2</v>
      </c>
      <c r="E6">
        <v>30</v>
      </c>
      <c r="F6" s="3">
        <f t="shared" si="1"/>
        <v>0</v>
      </c>
      <c r="G6" s="3">
        <f t="shared" si="2"/>
        <v>0</v>
      </c>
      <c r="H6" s="2">
        <f t="shared" si="0"/>
        <v>0</v>
      </c>
      <c r="I6" s="3">
        <f t="shared" si="3"/>
        <v>80</v>
      </c>
      <c r="J6" s="3">
        <f t="shared" si="4"/>
        <v>-50</v>
      </c>
      <c r="K6" s="3">
        <f t="shared" si="5"/>
        <v>30</v>
      </c>
      <c r="L6" s="3"/>
      <c r="M6" s="3"/>
    </row>
    <row r="7" spans="2:13" x14ac:dyDescent="0.35">
      <c r="B7" t="s">
        <v>11</v>
      </c>
      <c r="C7">
        <v>2</v>
      </c>
      <c r="E7">
        <v>40</v>
      </c>
      <c r="F7" s="3">
        <f t="shared" si="1"/>
        <v>0</v>
      </c>
      <c r="G7" s="3">
        <f t="shared" si="2"/>
        <v>0</v>
      </c>
      <c r="H7" s="2">
        <f t="shared" si="0"/>
        <v>0</v>
      </c>
      <c r="I7" s="3">
        <f t="shared" si="3"/>
        <v>70</v>
      </c>
      <c r="J7" s="3">
        <f t="shared" si="4"/>
        <v>-40</v>
      </c>
      <c r="K7" s="3">
        <f t="shared" si="5"/>
        <v>30</v>
      </c>
      <c r="L7" s="3"/>
      <c r="M7" s="3"/>
    </row>
    <row r="8" spans="2:13" x14ac:dyDescent="0.35">
      <c r="E8">
        <v>50</v>
      </c>
      <c r="F8" s="3">
        <f t="shared" si="1"/>
        <v>0</v>
      </c>
      <c r="G8" s="3">
        <f t="shared" si="2"/>
        <v>0</v>
      </c>
      <c r="H8" s="2">
        <f t="shared" si="0"/>
        <v>0</v>
      </c>
      <c r="I8" s="3">
        <f t="shared" si="3"/>
        <v>60</v>
      </c>
      <c r="J8" s="3">
        <f t="shared" si="4"/>
        <v>-30</v>
      </c>
      <c r="K8" s="3">
        <f t="shared" si="5"/>
        <v>30</v>
      </c>
      <c r="L8" s="3"/>
      <c r="M8" s="3"/>
    </row>
    <row r="9" spans="2:13" x14ac:dyDescent="0.35">
      <c r="B9" t="s">
        <v>12</v>
      </c>
      <c r="C9" s="1">
        <f>BlackPutPrice(C3,C4,C5,C6,C7,F1)</f>
        <v>5.3698188298031511</v>
      </c>
      <c r="E9">
        <v>60</v>
      </c>
      <c r="F9" s="3">
        <f t="shared" si="1"/>
        <v>0</v>
      </c>
      <c r="G9" s="3">
        <f t="shared" si="2"/>
        <v>0</v>
      </c>
      <c r="H9" s="2">
        <f t="shared" si="0"/>
        <v>0</v>
      </c>
      <c r="I9" s="3">
        <f t="shared" si="3"/>
        <v>50</v>
      </c>
      <c r="J9" s="3">
        <f t="shared" si="4"/>
        <v>-20</v>
      </c>
      <c r="K9" s="3">
        <f t="shared" si="5"/>
        <v>30</v>
      </c>
      <c r="L9" s="3"/>
      <c r="M9" s="3"/>
    </row>
    <row r="10" spans="2:13" x14ac:dyDescent="0.35">
      <c r="E10">
        <v>70</v>
      </c>
      <c r="F10" s="3">
        <f t="shared" si="1"/>
        <v>0</v>
      </c>
      <c r="G10" s="3">
        <f t="shared" si="2"/>
        <v>0</v>
      </c>
      <c r="H10" s="2">
        <f t="shared" si="0"/>
        <v>0</v>
      </c>
      <c r="I10" s="3">
        <f t="shared" si="3"/>
        <v>40</v>
      </c>
      <c r="J10" s="3">
        <f t="shared" si="4"/>
        <v>-10</v>
      </c>
      <c r="K10" s="3">
        <f t="shared" si="5"/>
        <v>30</v>
      </c>
      <c r="L10" s="3"/>
      <c r="M10" s="3"/>
    </row>
    <row r="11" spans="2:13" x14ac:dyDescent="0.35">
      <c r="E11">
        <v>80</v>
      </c>
      <c r="F11" s="3">
        <f t="shared" si="1"/>
        <v>0</v>
      </c>
      <c r="G11" s="3">
        <f t="shared" si="2"/>
        <v>0</v>
      </c>
      <c r="H11" s="2">
        <f t="shared" si="0"/>
        <v>0</v>
      </c>
      <c r="I11" s="3">
        <f t="shared" si="3"/>
        <v>30</v>
      </c>
      <c r="J11" s="3">
        <f t="shared" si="4"/>
        <v>0</v>
      </c>
      <c r="K11" s="3">
        <f>I11+J11</f>
        <v>30</v>
      </c>
      <c r="L11" s="3"/>
      <c r="M11" s="3"/>
    </row>
    <row r="12" spans="2:13" x14ac:dyDescent="0.35">
      <c r="E12">
        <v>90</v>
      </c>
      <c r="F12" s="3">
        <f t="shared" si="1"/>
        <v>10</v>
      </c>
      <c r="G12" s="3">
        <f t="shared" si="2"/>
        <v>0</v>
      </c>
      <c r="H12" s="2">
        <f t="shared" si="0"/>
        <v>10</v>
      </c>
      <c r="I12" s="3">
        <f t="shared" si="3"/>
        <v>20</v>
      </c>
      <c r="J12" s="3">
        <f t="shared" si="4"/>
        <v>0</v>
      </c>
      <c r="K12" s="3">
        <f t="shared" si="5"/>
        <v>20</v>
      </c>
      <c r="L12" s="3"/>
      <c r="M12" s="3"/>
    </row>
    <row r="13" spans="2:13" x14ac:dyDescent="0.35">
      <c r="E13">
        <v>100</v>
      </c>
      <c r="F13" s="3">
        <f t="shared" si="1"/>
        <v>20</v>
      </c>
      <c r="G13" s="3">
        <f t="shared" si="2"/>
        <v>0</v>
      </c>
      <c r="H13" s="2">
        <f t="shared" si="0"/>
        <v>20</v>
      </c>
      <c r="I13" s="3">
        <f t="shared" si="3"/>
        <v>10</v>
      </c>
      <c r="J13" s="3">
        <f t="shared" si="4"/>
        <v>0</v>
      </c>
      <c r="K13" s="3">
        <f t="shared" si="5"/>
        <v>10</v>
      </c>
      <c r="L13" s="3"/>
      <c r="M13" s="3"/>
    </row>
    <row r="14" spans="2:13" x14ac:dyDescent="0.35">
      <c r="E14">
        <v>110</v>
      </c>
      <c r="F14" s="3">
        <f t="shared" si="1"/>
        <v>30</v>
      </c>
      <c r="G14" s="3">
        <f t="shared" si="2"/>
        <v>0</v>
      </c>
      <c r="H14" s="2">
        <f t="shared" si="0"/>
        <v>30</v>
      </c>
      <c r="I14" s="3">
        <f t="shared" si="3"/>
        <v>0</v>
      </c>
      <c r="J14" s="3">
        <f t="shared" si="4"/>
        <v>0</v>
      </c>
      <c r="K14" s="3">
        <f t="shared" si="5"/>
        <v>0</v>
      </c>
      <c r="L14" s="3"/>
      <c r="M14" s="3"/>
    </row>
    <row r="15" spans="2:13" x14ac:dyDescent="0.35">
      <c r="E15">
        <v>120</v>
      </c>
      <c r="F15" s="3">
        <f t="shared" si="1"/>
        <v>40</v>
      </c>
      <c r="G15" s="3">
        <f t="shared" si="2"/>
        <v>-10</v>
      </c>
      <c r="H15" s="2">
        <f t="shared" si="0"/>
        <v>30</v>
      </c>
      <c r="I15" s="3">
        <f t="shared" si="3"/>
        <v>0</v>
      </c>
      <c r="J15" s="3">
        <f t="shared" si="4"/>
        <v>0</v>
      </c>
      <c r="K15" s="3">
        <f t="shared" si="5"/>
        <v>0</v>
      </c>
      <c r="L15" s="3"/>
      <c r="M15" s="3"/>
    </row>
    <row r="16" spans="2:13" x14ac:dyDescent="0.35">
      <c r="E16">
        <v>130</v>
      </c>
      <c r="F16" s="3">
        <f t="shared" si="1"/>
        <v>50</v>
      </c>
      <c r="G16" s="3">
        <f t="shared" si="2"/>
        <v>-20</v>
      </c>
      <c r="H16" s="2">
        <f t="shared" si="0"/>
        <v>30</v>
      </c>
      <c r="I16" s="3">
        <f t="shared" si="3"/>
        <v>0</v>
      </c>
      <c r="J16" s="3">
        <f t="shared" si="4"/>
        <v>0</v>
      </c>
      <c r="K16" s="3">
        <f t="shared" si="5"/>
        <v>0</v>
      </c>
      <c r="L16" s="3"/>
      <c r="M16" s="3"/>
    </row>
    <row r="17" spans="5:13" x14ac:dyDescent="0.35">
      <c r="E17">
        <v>140</v>
      </c>
      <c r="F17" s="3">
        <f t="shared" si="1"/>
        <v>60</v>
      </c>
      <c r="G17" s="3">
        <f t="shared" si="2"/>
        <v>-30</v>
      </c>
      <c r="H17" s="2">
        <f t="shared" si="0"/>
        <v>30</v>
      </c>
      <c r="I17" s="3">
        <f t="shared" si="3"/>
        <v>0</v>
      </c>
      <c r="J17" s="3">
        <f t="shared" si="4"/>
        <v>0</v>
      </c>
      <c r="K17" s="3">
        <f t="shared" si="5"/>
        <v>0</v>
      </c>
      <c r="L17" s="3"/>
      <c r="M17" s="3"/>
    </row>
    <row r="18" spans="5:13" x14ac:dyDescent="0.35">
      <c r="E18">
        <v>150</v>
      </c>
      <c r="F18" s="3">
        <f t="shared" si="1"/>
        <v>70</v>
      </c>
      <c r="G18" s="3">
        <f t="shared" si="2"/>
        <v>-40</v>
      </c>
      <c r="H18" s="2">
        <f t="shared" si="0"/>
        <v>30</v>
      </c>
      <c r="I18" s="3">
        <f t="shared" si="3"/>
        <v>0</v>
      </c>
      <c r="J18" s="3">
        <f t="shared" si="4"/>
        <v>0</v>
      </c>
      <c r="K18" s="3">
        <f t="shared" si="5"/>
        <v>0</v>
      </c>
      <c r="L18" s="3"/>
      <c r="M18" s="3"/>
    </row>
    <row r="19" spans="5:13" x14ac:dyDescent="0.35">
      <c r="E19">
        <v>160</v>
      </c>
      <c r="F19" s="3">
        <f t="shared" si="1"/>
        <v>80</v>
      </c>
      <c r="G19" s="3">
        <f t="shared" si="2"/>
        <v>-50</v>
      </c>
      <c r="H19" s="2">
        <f t="shared" si="0"/>
        <v>30</v>
      </c>
      <c r="I19" s="3">
        <f t="shared" si="3"/>
        <v>0</v>
      </c>
      <c r="J19" s="3">
        <f t="shared" si="4"/>
        <v>0</v>
      </c>
      <c r="K19" s="3">
        <f t="shared" si="5"/>
        <v>0</v>
      </c>
      <c r="L19" s="3"/>
      <c r="M19" s="3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1:O122"/>
  <sheetViews>
    <sheetView topLeftCell="E1" zoomScale="85" zoomScaleNormal="85" workbookViewId="0">
      <selection activeCell="K19" sqref="K19"/>
    </sheetView>
  </sheetViews>
  <sheetFormatPr defaultRowHeight="14.5" x14ac:dyDescent="0.35"/>
  <cols>
    <col min="6" max="6" width="9.81640625" bestFit="1" customWidth="1"/>
    <col min="7" max="7" width="11.81640625" bestFit="1" customWidth="1"/>
    <col min="8" max="8" width="14.36328125" customWidth="1"/>
    <col min="9" max="9" width="11.81640625" customWidth="1"/>
    <col min="11" max="11" width="13.36328125" bestFit="1" customWidth="1"/>
    <col min="12" max="12" width="10.26953125" customWidth="1"/>
    <col min="13" max="13" width="15.26953125" customWidth="1"/>
    <col min="14" max="14" width="13.6328125" bestFit="1" customWidth="1"/>
  </cols>
  <sheetData>
    <row r="1" spans="2:15" x14ac:dyDescent="0.35">
      <c r="E1" t="s">
        <v>8</v>
      </c>
      <c r="F1">
        <v>85</v>
      </c>
      <c r="G1">
        <v>87</v>
      </c>
      <c r="I1">
        <v>84</v>
      </c>
      <c r="J1">
        <v>88</v>
      </c>
      <c r="L1">
        <v>86</v>
      </c>
    </row>
    <row r="2" spans="2:15" x14ac:dyDescent="0.35">
      <c r="F2" t="s">
        <v>13</v>
      </c>
      <c r="G2" t="s">
        <v>19</v>
      </c>
      <c r="H2" t="s">
        <v>24</v>
      </c>
      <c r="I2" t="s">
        <v>13</v>
      </c>
      <c r="J2" t="s">
        <v>19</v>
      </c>
      <c r="K2" t="s">
        <v>25</v>
      </c>
      <c r="L2" t="s">
        <v>26</v>
      </c>
    </row>
    <row r="3" spans="2:15" x14ac:dyDescent="0.35">
      <c r="B3" t="s">
        <v>4</v>
      </c>
      <c r="C3">
        <f>(G1-F1)</f>
        <v>2</v>
      </c>
      <c r="E3">
        <v>80.099999999999994</v>
      </c>
      <c r="F3" s="4">
        <f>MAX(E3-$F$1,0)</f>
        <v>0</v>
      </c>
      <c r="G3" s="4">
        <f>-MAX(E3-$G$1,0)</f>
        <v>0</v>
      </c>
      <c r="H3" s="4">
        <f>(F3+G3)/($G$1-$F$1)</f>
        <v>0</v>
      </c>
      <c r="I3" s="4">
        <f>MAX(E3-$I$1,0)</f>
        <v>0</v>
      </c>
      <c r="J3" s="4">
        <f>-MAX(E3-$J$1,0)</f>
        <v>0</v>
      </c>
      <c r="K3" s="4">
        <f>(I3+J3)/($J$1-$I$1)</f>
        <v>0</v>
      </c>
      <c r="L3" s="2">
        <f t="shared" ref="L3:L34" si="0">IF(E3&gt;$L$1,1,0)</f>
        <v>0</v>
      </c>
      <c r="M3" s="3"/>
      <c r="N3" s="3"/>
      <c r="O3" s="3"/>
    </row>
    <row r="4" spans="2:15" x14ac:dyDescent="0.35">
      <c r="E4">
        <v>80.2</v>
      </c>
      <c r="F4" s="4">
        <f t="shared" ref="F4:F67" si="1">MAX(E4-$F$1,0)</f>
        <v>0</v>
      </c>
      <c r="G4" s="4">
        <f t="shared" ref="G4:G19" si="2">-MAX(E4-$G$1,0)</f>
        <v>0</v>
      </c>
      <c r="H4" s="4">
        <f t="shared" ref="H4:H67" si="3">(F4+G4)/($G$1-$F$1)</f>
        <v>0</v>
      </c>
      <c r="I4" s="4">
        <f t="shared" ref="I4:I67" si="4">MAX(E4-$I$1,0)</f>
        <v>0</v>
      </c>
      <c r="J4" s="4">
        <f t="shared" ref="J4:J67" si="5">-MAX(E4-$J$1,0)</f>
        <v>0</v>
      </c>
      <c r="K4" s="4">
        <f t="shared" ref="K4:K67" si="6">(I4+J4)/($J$1-$I$1)</f>
        <v>0</v>
      </c>
      <c r="L4" s="2">
        <f t="shared" si="0"/>
        <v>0</v>
      </c>
      <c r="M4" s="3"/>
      <c r="N4" s="3"/>
      <c r="O4" s="3"/>
    </row>
    <row r="5" spans="2:15" x14ac:dyDescent="0.35">
      <c r="E5">
        <v>80.3</v>
      </c>
      <c r="F5" s="4">
        <f t="shared" si="1"/>
        <v>0</v>
      </c>
      <c r="G5" s="4">
        <f t="shared" si="2"/>
        <v>0</v>
      </c>
      <c r="H5" s="4">
        <f t="shared" si="3"/>
        <v>0</v>
      </c>
      <c r="I5" s="4">
        <f t="shared" si="4"/>
        <v>0</v>
      </c>
      <c r="J5" s="4">
        <f t="shared" si="5"/>
        <v>0</v>
      </c>
      <c r="K5" s="4">
        <f t="shared" si="6"/>
        <v>0</v>
      </c>
      <c r="L5" s="2">
        <f t="shared" si="0"/>
        <v>0</v>
      </c>
      <c r="M5" s="3"/>
      <c r="N5" s="3"/>
      <c r="O5" s="3"/>
    </row>
    <row r="6" spans="2:15" x14ac:dyDescent="0.35">
      <c r="E6">
        <v>80.400000000000006</v>
      </c>
      <c r="F6" s="4">
        <f t="shared" si="1"/>
        <v>0</v>
      </c>
      <c r="G6" s="4">
        <f t="shared" si="2"/>
        <v>0</v>
      </c>
      <c r="H6" s="4">
        <f t="shared" si="3"/>
        <v>0</v>
      </c>
      <c r="I6" s="4">
        <f t="shared" si="4"/>
        <v>0</v>
      </c>
      <c r="J6" s="4">
        <f t="shared" si="5"/>
        <v>0</v>
      </c>
      <c r="K6" s="4">
        <f t="shared" si="6"/>
        <v>0</v>
      </c>
      <c r="L6" s="2">
        <f t="shared" si="0"/>
        <v>0</v>
      </c>
      <c r="M6" s="3"/>
      <c r="N6" s="3"/>
      <c r="O6" s="3"/>
    </row>
    <row r="7" spans="2:15" ht="12" customHeight="1" x14ac:dyDescent="0.35">
      <c r="E7">
        <v>80.5</v>
      </c>
      <c r="F7" s="4">
        <f t="shared" si="1"/>
        <v>0</v>
      </c>
      <c r="G7" s="4">
        <f t="shared" si="2"/>
        <v>0</v>
      </c>
      <c r="H7" s="4">
        <f t="shared" si="3"/>
        <v>0</v>
      </c>
      <c r="I7" s="4">
        <f t="shared" si="4"/>
        <v>0</v>
      </c>
      <c r="J7" s="4">
        <f t="shared" si="5"/>
        <v>0</v>
      </c>
      <c r="K7" s="4">
        <f t="shared" si="6"/>
        <v>0</v>
      </c>
      <c r="L7" s="2">
        <f t="shared" si="0"/>
        <v>0</v>
      </c>
      <c r="M7" s="3"/>
      <c r="N7" s="3"/>
      <c r="O7" s="3"/>
    </row>
    <row r="8" spans="2:15" x14ac:dyDescent="0.35">
      <c r="E8">
        <v>80.599999999999994</v>
      </c>
      <c r="F8" s="4">
        <f t="shared" si="1"/>
        <v>0</v>
      </c>
      <c r="G8" s="4">
        <f t="shared" si="2"/>
        <v>0</v>
      </c>
      <c r="H8" s="4">
        <f t="shared" si="3"/>
        <v>0</v>
      </c>
      <c r="I8" s="4">
        <f t="shared" si="4"/>
        <v>0</v>
      </c>
      <c r="J8" s="4">
        <f t="shared" si="5"/>
        <v>0</v>
      </c>
      <c r="K8" s="4">
        <f t="shared" si="6"/>
        <v>0</v>
      </c>
      <c r="L8" s="2">
        <f t="shared" si="0"/>
        <v>0</v>
      </c>
      <c r="M8" s="3"/>
      <c r="N8" s="3"/>
      <c r="O8" s="3"/>
    </row>
    <row r="9" spans="2:15" x14ac:dyDescent="0.35">
      <c r="C9" s="1"/>
      <c r="E9">
        <v>80.7</v>
      </c>
      <c r="F9" s="4">
        <f t="shared" si="1"/>
        <v>0</v>
      </c>
      <c r="G9" s="4">
        <f t="shared" si="2"/>
        <v>0</v>
      </c>
      <c r="H9" s="4">
        <f t="shared" si="3"/>
        <v>0</v>
      </c>
      <c r="I9" s="4">
        <f t="shared" si="4"/>
        <v>0</v>
      </c>
      <c r="J9" s="4">
        <f t="shared" si="5"/>
        <v>0</v>
      </c>
      <c r="K9" s="4">
        <f t="shared" si="6"/>
        <v>0</v>
      </c>
      <c r="L9" s="2">
        <f t="shared" si="0"/>
        <v>0</v>
      </c>
      <c r="M9" s="3"/>
      <c r="N9" s="3"/>
      <c r="O9" s="3"/>
    </row>
    <row r="10" spans="2:15" x14ac:dyDescent="0.35">
      <c r="E10">
        <v>80.800000000000097</v>
      </c>
      <c r="F10" s="4">
        <f t="shared" si="1"/>
        <v>0</v>
      </c>
      <c r="G10" s="4">
        <f t="shared" si="2"/>
        <v>0</v>
      </c>
      <c r="H10" s="4">
        <f t="shared" si="3"/>
        <v>0</v>
      </c>
      <c r="I10" s="4">
        <f t="shared" si="4"/>
        <v>0</v>
      </c>
      <c r="J10" s="4">
        <f t="shared" si="5"/>
        <v>0</v>
      </c>
      <c r="K10" s="4">
        <f t="shared" si="6"/>
        <v>0</v>
      </c>
      <c r="L10" s="2">
        <f t="shared" si="0"/>
        <v>0</v>
      </c>
      <c r="M10" s="3"/>
      <c r="N10" s="3"/>
      <c r="O10" s="3"/>
    </row>
    <row r="11" spans="2:15" x14ac:dyDescent="0.35">
      <c r="E11">
        <v>80.900000000000105</v>
      </c>
      <c r="F11" s="4">
        <f t="shared" si="1"/>
        <v>0</v>
      </c>
      <c r="G11" s="4">
        <f t="shared" si="2"/>
        <v>0</v>
      </c>
      <c r="H11" s="4">
        <f t="shared" si="3"/>
        <v>0</v>
      </c>
      <c r="I11" s="4">
        <f t="shared" si="4"/>
        <v>0</v>
      </c>
      <c r="J11" s="4">
        <f t="shared" si="5"/>
        <v>0</v>
      </c>
      <c r="K11" s="4">
        <f t="shared" si="6"/>
        <v>0</v>
      </c>
      <c r="L11" s="2">
        <f t="shared" si="0"/>
        <v>0</v>
      </c>
      <c r="M11" s="3"/>
      <c r="N11" s="3"/>
      <c r="O11" s="3"/>
    </row>
    <row r="12" spans="2:15" x14ac:dyDescent="0.35">
      <c r="E12">
        <v>81.000000000000099</v>
      </c>
      <c r="F12" s="4">
        <f t="shared" si="1"/>
        <v>0</v>
      </c>
      <c r="G12" s="4">
        <f t="shared" si="2"/>
        <v>0</v>
      </c>
      <c r="H12" s="4">
        <f t="shared" si="3"/>
        <v>0</v>
      </c>
      <c r="I12" s="4">
        <f t="shared" si="4"/>
        <v>0</v>
      </c>
      <c r="J12" s="4">
        <f t="shared" si="5"/>
        <v>0</v>
      </c>
      <c r="K12" s="4">
        <f t="shared" si="6"/>
        <v>0</v>
      </c>
      <c r="L12" s="2">
        <f t="shared" si="0"/>
        <v>0</v>
      </c>
      <c r="M12" s="3"/>
      <c r="N12" s="3"/>
      <c r="O12" s="3"/>
    </row>
    <row r="13" spans="2:15" x14ac:dyDescent="0.35">
      <c r="E13">
        <v>81.100000000000094</v>
      </c>
      <c r="F13" s="4">
        <f t="shared" si="1"/>
        <v>0</v>
      </c>
      <c r="G13" s="4">
        <f t="shared" si="2"/>
        <v>0</v>
      </c>
      <c r="H13" s="4">
        <f t="shared" si="3"/>
        <v>0</v>
      </c>
      <c r="I13" s="4">
        <f t="shared" si="4"/>
        <v>0</v>
      </c>
      <c r="J13" s="4">
        <f t="shared" si="5"/>
        <v>0</v>
      </c>
      <c r="K13" s="4">
        <f t="shared" si="6"/>
        <v>0</v>
      </c>
      <c r="L13" s="2">
        <f t="shared" si="0"/>
        <v>0</v>
      </c>
      <c r="M13" s="3"/>
      <c r="N13" s="3"/>
      <c r="O13" s="3"/>
    </row>
    <row r="14" spans="2:15" x14ac:dyDescent="0.35">
      <c r="E14">
        <v>81.200000000000102</v>
      </c>
      <c r="F14" s="4">
        <f t="shared" si="1"/>
        <v>0</v>
      </c>
      <c r="G14" s="4">
        <f t="shared" si="2"/>
        <v>0</v>
      </c>
      <c r="H14" s="4">
        <f t="shared" si="3"/>
        <v>0</v>
      </c>
      <c r="I14" s="4">
        <f t="shared" si="4"/>
        <v>0</v>
      </c>
      <c r="J14" s="4">
        <f t="shared" si="5"/>
        <v>0</v>
      </c>
      <c r="K14" s="4">
        <f t="shared" si="6"/>
        <v>0</v>
      </c>
      <c r="L14" s="2">
        <f t="shared" si="0"/>
        <v>0</v>
      </c>
      <c r="M14" s="3"/>
      <c r="N14" s="3"/>
      <c r="O14" s="3"/>
    </row>
    <row r="15" spans="2:15" x14ac:dyDescent="0.35">
      <c r="E15">
        <v>81.300000000000097</v>
      </c>
      <c r="F15" s="4">
        <f t="shared" si="1"/>
        <v>0</v>
      </c>
      <c r="G15" s="4">
        <f t="shared" si="2"/>
        <v>0</v>
      </c>
      <c r="H15" s="4">
        <f t="shared" si="3"/>
        <v>0</v>
      </c>
      <c r="I15" s="4">
        <f t="shared" si="4"/>
        <v>0</v>
      </c>
      <c r="J15" s="4">
        <f t="shared" si="5"/>
        <v>0</v>
      </c>
      <c r="K15" s="4">
        <f t="shared" si="6"/>
        <v>0</v>
      </c>
      <c r="L15" s="2">
        <f t="shared" si="0"/>
        <v>0</v>
      </c>
      <c r="M15" s="3"/>
      <c r="N15" s="3"/>
      <c r="O15" s="3"/>
    </row>
    <row r="16" spans="2:15" x14ac:dyDescent="0.35">
      <c r="E16">
        <v>81.400000000000105</v>
      </c>
      <c r="F16" s="4">
        <f t="shared" si="1"/>
        <v>0</v>
      </c>
      <c r="G16" s="4">
        <f t="shared" si="2"/>
        <v>0</v>
      </c>
      <c r="H16" s="4">
        <f t="shared" si="3"/>
        <v>0</v>
      </c>
      <c r="I16" s="4">
        <f t="shared" si="4"/>
        <v>0</v>
      </c>
      <c r="J16" s="4">
        <f t="shared" si="5"/>
        <v>0</v>
      </c>
      <c r="K16" s="4">
        <f t="shared" si="6"/>
        <v>0</v>
      </c>
      <c r="L16" s="2">
        <f t="shared" si="0"/>
        <v>0</v>
      </c>
      <c r="M16" s="3"/>
      <c r="N16" s="3"/>
      <c r="O16" s="3"/>
    </row>
    <row r="17" spans="5:15" x14ac:dyDescent="0.35">
      <c r="E17">
        <v>81.500000000000099</v>
      </c>
      <c r="F17" s="4">
        <f t="shared" si="1"/>
        <v>0</v>
      </c>
      <c r="G17" s="4">
        <f t="shared" si="2"/>
        <v>0</v>
      </c>
      <c r="H17" s="4">
        <f t="shared" si="3"/>
        <v>0</v>
      </c>
      <c r="I17" s="4">
        <f t="shared" si="4"/>
        <v>0</v>
      </c>
      <c r="J17" s="4">
        <f t="shared" si="5"/>
        <v>0</v>
      </c>
      <c r="K17" s="4">
        <f t="shared" si="6"/>
        <v>0</v>
      </c>
      <c r="L17" s="2">
        <f t="shared" si="0"/>
        <v>0</v>
      </c>
      <c r="M17" s="3"/>
      <c r="N17" s="3"/>
      <c r="O17" s="3"/>
    </row>
    <row r="18" spans="5:15" x14ac:dyDescent="0.35">
      <c r="E18">
        <v>81.600000000000094</v>
      </c>
      <c r="F18" s="4">
        <f t="shared" si="1"/>
        <v>0</v>
      </c>
      <c r="G18" s="4">
        <f t="shared" si="2"/>
        <v>0</v>
      </c>
      <c r="H18" s="4">
        <f t="shared" si="3"/>
        <v>0</v>
      </c>
      <c r="I18" s="4">
        <f t="shared" si="4"/>
        <v>0</v>
      </c>
      <c r="J18" s="4">
        <f t="shared" si="5"/>
        <v>0</v>
      </c>
      <c r="K18" s="4">
        <f t="shared" si="6"/>
        <v>0</v>
      </c>
      <c r="L18" s="2">
        <f t="shared" si="0"/>
        <v>0</v>
      </c>
      <c r="M18" s="3"/>
      <c r="N18" s="3"/>
      <c r="O18" s="3"/>
    </row>
    <row r="19" spans="5:15" x14ac:dyDescent="0.35">
      <c r="E19">
        <v>81.700000000000102</v>
      </c>
      <c r="F19" s="4">
        <f t="shared" si="1"/>
        <v>0</v>
      </c>
      <c r="G19" s="4">
        <f t="shared" si="2"/>
        <v>0</v>
      </c>
      <c r="H19" s="4">
        <f t="shared" si="3"/>
        <v>0</v>
      </c>
      <c r="I19" s="4">
        <f t="shared" si="4"/>
        <v>0</v>
      </c>
      <c r="J19" s="4">
        <f t="shared" si="5"/>
        <v>0</v>
      </c>
      <c r="K19" s="4">
        <f t="shared" si="6"/>
        <v>0</v>
      </c>
      <c r="L19" s="2">
        <f t="shared" si="0"/>
        <v>0</v>
      </c>
      <c r="M19" s="3"/>
      <c r="N19" s="3"/>
      <c r="O19" s="3"/>
    </row>
    <row r="20" spans="5:15" x14ac:dyDescent="0.35">
      <c r="E20">
        <v>81.800000000000097</v>
      </c>
      <c r="F20" s="4">
        <f t="shared" si="1"/>
        <v>0</v>
      </c>
      <c r="G20" s="4">
        <f t="shared" ref="G20:G83" si="7">-MAX(E20-$G$1,0)</f>
        <v>0</v>
      </c>
      <c r="H20" s="4">
        <f t="shared" si="3"/>
        <v>0</v>
      </c>
      <c r="I20" s="4">
        <f t="shared" si="4"/>
        <v>0</v>
      </c>
      <c r="J20" s="4">
        <f t="shared" si="5"/>
        <v>0</v>
      </c>
      <c r="K20" s="4">
        <f t="shared" si="6"/>
        <v>0</v>
      </c>
      <c r="L20" s="2">
        <f t="shared" si="0"/>
        <v>0</v>
      </c>
    </row>
    <row r="21" spans="5:15" x14ac:dyDescent="0.35">
      <c r="E21">
        <v>81.900000000000105</v>
      </c>
      <c r="F21" s="4">
        <f t="shared" si="1"/>
        <v>0</v>
      </c>
      <c r="G21" s="4">
        <f t="shared" si="7"/>
        <v>0</v>
      </c>
      <c r="H21" s="4">
        <f t="shared" si="3"/>
        <v>0</v>
      </c>
      <c r="I21" s="4">
        <f t="shared" si="4"/>
        <v>0</v>
      </c>
      <c r="J21" s="4">
        <f t="shared" si="5"/>
        <v>0</v>
      </c>
      <c r="K21" s="4">
        <f t="shared" si="6"/>
        <v>0</v>
      </c>
      <c r="L21" s="2">
        <f t="shared" si="0"/>
        <v>0</v>
      </c>
    </row>
    <row r="22" spans="5:15" x14ac:dyDescent="0.35">
      <c r="E22">
        <v>82.000000000000199</v>
      </c>
      <c r="F22" s="4">
        <f t="shared" si="1"/>
        <v>0</v>
      </c>
      <c r="G22" s="4">
        <f t="shared" si="7"/>
        <v>0</v>
      </c>
      <c r="H22" s="4">
        <f t="shared" si="3"/>
        <v>0</v>
      </c>
      <c r="I22" s="4">
        <f t="shared" si="4"/>
        <v>0</v>
      </c>
      <c r="J22" s="4">
        <f t="shared" si="5"/>
        <v>0</v>
      </c>
      <c r="K22" s="4">
        <f t="shared" si="6"/>
        <v>0</v>
      </c>
      <c r="L22" s="2">
        <f t="shared" si="0"/>
        <v>0</v>
      </c>
    </row>
    <row r="23" spans="5:15" x14ac:dyDescent="0.35">
      <c r="E23">
        <v>82.100000000000193</v>
      </c>
      <c r="F23" s="4">
        <f t="shared" si="1"/>
        <v>0</v>
      </c>
      <c r="G23" s="4">
        <f t="shared" si="7"/>
        <v>0</v>
      </c>
      <c r="H23" s="4">
        <f t="shared" si="3"/>
        <v>0</v>
      </c>
      <c r="I23" s="4">
        <f t="shared" si="4"/>
        <v>0</v>
      </c>
      <c r="J23" s="4">
        <f t="shared" si="5"/>
        <v>0</v>
      </c>
      <c r="K23" s="4">
        <f t="shared" si="6"/>
        <v>0</v>
      </c>
      <c r="L23" s="2">
        <f t="shared" si="0"/>
        <v>0</v>
      </c>
    </row>
    <row r="24" spans="5:15" x14ac:dyDescent="0.35">
      <c r="E24">
        <v>82.200000000000202</v>
      </c>
      <c r="F24" s="4">
        <f t="shared" si="1"/>
        <v>0</v>
      </c>
      <c r="G24" s="4">
        <f t="shared" si="7"/>
        <v>0</v>
      </c>
      <c r="H24" s="4">
        <f t="shared" si="3"/>
        <v>0</v>
      </c>
      <c r="I24" s="4">
        <f t="shared" si="4"/>
        <v>0</v>
      </c>
      <c r="J24" s="4">
        <f t="shared" si="5"/>
        <v>0</v>
      </c>
      <c r="K24" s="4">
        <f t="shared" si="6"/>
        <v>0</v>
      </c>
      <c r="L24" s="2">
        <f t="shared" si="0"/>
        <v>0</v>
      </c>
    </row>
    <row r="25" spans="5:15" x14ac:dyDescent="0.35">
      <c r="E25">
        <v>82.300000000000196</v>
      </c>
      <c r="F25" s="4">
        <f t="shared" si="1"/>
        <v>0</v>
      </c>
      <c r="G25" s="4">
        <f t="shared" si="7"/>
        <v>0</v>
      </c>
      <c r="H25" s="4">
        <f t="shared" si="3"/>
        <v>0</v>
      </c>
      <c r="I25" s="4">
        <f t="shared" si="4"/>
        <v>0</v>
      </c>
      <c r="J25" s="4">
        <f t="shared" si="5"/>
        <v>0</v>
      </c>
      <c r="K25" s="4">
        <f t="shared" si="6"/>
        <v>0</v>
      </c>
      <c r="L25" s="2">
        <f t="shared" si="0"/>
        <v>0</v>
      </c>
    </row>
    <row r="26" spans="5:15" x14ac:dyDescent="0.35">
      <c r="E26">
        <v>82.400000000000205</v>
      </c>
      <c r="F26" s="4">
        <f t="shared" si="1"/>
        <v>0</v>
      </c>
      <c r="G26" s="4">
        <f t="shared" si="7"/>
        <v>0</v>
      </c>
      <c r="H26" s="4">
        <f t="shared" si="3"/>
        <v>0</v>
      </c>
      <c r="I26" s="4">
        <f t="shared" si="4"/>
        <v>0</v>
      </c>
      <c r="J26" s="4">
        <f t="shared" si="5"/>
        <v>0</v>
      </c>
      <c r="K26" s="4">
        <f t="shared" si="6"/>
        <v>0</v>
      </c>
      <c r="L26" s="2">
        <f t="shared" si="0"/>
        <v>0</v>
      </c>
    </row>
    <row r="27" spans="5:15" x14ac:dyDescent="0.35">
      <c r="E27">
        <v>82.500000000000199</v>
      </c>
      <c r="F27" s="4">
        <f t="shared" si="1"/>
        <v>0</v>
      </c>
      <c r="G27" s="4">
        <f t="shared" si="7"/>
        <v>0</v>
      </c>
      <c r="H27" s="4">
        <f t="shared" si="3"/>
        <v>0</v>
      </c>
      <c r="I27" s="4">
        <f t="shared" si="4"/>
        <v>0</v>
      </c>
      <c r="J27" s="4">
        <f t="shared" si="5"/>
        <v>0</v>
      </c>
      <c r="K27" s="4">
        <f t="shared" si="6"/>
        <v>0</v>
      </c>
      <c r="L27" s="2">
        <f t="shared" si="0"/>
        <v>0</v>
      </c>
    </row>
    <row r="28" spans="5:15" x14ac:dyDescent="0.35">
      <c r="E28">
        <v>82.600000000000193</v>
      </c>
      <c r="F28" s="4">
        <f t="shared" si="1"/>
        <v>0</v>
      </c>
      <c r="G28" s="4">
        <f t="shared" si="7"/>
        <v>0</v>
      </c>
      <c r="H28" s="4">
        <f t="shared" si="3"/>
        <v>0</v>
      </c>
      <c r="I28" s="4">
        <f t="shared" si="4"/>
        <v>0</v>
      </c>
      <c r="J28" s="4">
        <f t="shared" si="5"/>
        <v>0</v>
      </c>
      <c r="K28" s="4">
        <f t="shared" si="6"/>
        <v>0</v>
      </c>
      <c r="L28" s="2">
        <f t="shared" si="0"/>
        <v>0</v>
      </c>
    </row>
    <row r="29" spans="5:15" x14ac:dyDescent="0.35">
      <c r="E29">
        <v>82.700000000000202</v>
      </c>
      <c r="F29" s="4">
        <f t="shared" si="1"/>
        <v>0</v>
      </c>
      <c r="G29" s="4">
        <f t="shared" si="7"/>
        <v>0</v>
      </c>
      <c r="H29" s="4">
        <f t="shared" si="3"/>
        <v>0</v>
      </c>
      <c r="I29" s="4">
        <f t="shared" si="4"/>
        <v>0</v>
      </c>
      <c r="J29" s="4">
        <f t="shared" si="5"/>
        <v>0</v>
      </c>
      <c r="K29" s="4">
        <f t="shared" si="6"/>
        <v>0</v>
      </c>
      <c r="L29" s="2">
        <f t="shared" si="0"/>
        <v>0</v>
      </c>
    </row>
    <row r="30" spans="5:15" x14ac:dyDescent="0.35">
      <c r="E30">
        <v>82.800000000000196</v>
      </c>
      <c r="F30" s="4">
        <f t="shared" si="1"/>
        <v>0</v>
      </c>
      <c r="G30" s="4">
        <f t="shared" si="7"/>
        <v>0</v>
      </c>
      <c r="H30" s="4">
        <f t="shared" si="3"/>
        <v>0</v>
      </c>
      <c r="I30" s="4">
        <f t="shared" si="4"/>
        <v>0</v>
      </c>
      <c r="J30" s="4">
        <f t="shared" si="5"/>
        <v>0</v>
      </c>
      <c r="K30" s="4">
        <f t="shared" si="6"/>
        <v>0</v>
      </c>
      <c r="L30" s="2">
        <f t="shared" si="0"/>
        <v>0</v>
      </c>
    </row>
    <row r="31" spans="5:15" x14ac:dyDescent="0.35">
      <c r="E31">
        <v>82.900000000000205</v>
      </c>
      <c r="F31" s="4">
        <f t="shared" si="1"/>
        <v>0</v>
      </c>
      <c r="G31" s="4">
        <f t="shared" si="7"/>
        <v>0</v>
      </c>
      <c r="H31" s="4">
        <f t="shared" si="3"/>
        <v>0</v>
      </c>
      <c r="I31" s="4">
        <f t="shared" si="4"/>
        <v>0</v>
      </c>
      <c r="J31" s="4">
        <f t="shared" si="5"/>
        <v>0</v>
      </c>
      <c r="K31" s="4">
        <f t="shared" si="6"/>
        <v>0</v>
      </c>
      <c r="L31" s="2">
        <f t="shared" si="0"/>
        <v>0</v>
      </c>
    </row>
    <row r="32" spans="5:15" x14ac:dyDescent="0.35">
      <c r="E32">
        <v>83.000000000000199</v>
      </c>
      <c r="F32" s="4">
        <f t="shared" si="1"/>
        <v>0</v>
      </c>
      <c r="G32" s="4">
        <f t="shared" si="7"/>
        <v>0</v>
      </c>
      <c r="H32" s="4">
        <f t="shared" si="3"/>
        <v>0</v>
      </c>
      <c r="I32" s="4">
        <f t="shared" si="4"/>
        <v>0</v>
      </c>
      <c r="J32" s="4">
        <f t="shared" si="5"/>
        <v>0</v>
      </c>
      <c r="K32" s="4">
        <f t="shared" si="6"/>
        <v>0</v>
      </c>
      <c r="L32" s="2">
        <f t="shared" si="0"/>
        <v>0</v>
      </c>
    </row>
    <row r="33" spans="5:12" x14ac:dyDescent="0.35">
      <c r="E33">
        <v>83.100000000000307</v>
      </c>
      <c r="F33" s="4">
        <f t="shared" si="1"/>
        <v>0</v>
      </c>
      <c r="G33" s="4">
        <f t="shared" si="7"/>
        <v>0</v>
      </c>
      <c r="H33" s="4">
        <f t="shared" si="3"/>
        <v>0</v>
      </c>
      <c r="I33" s="4">
        <f t="shared" si="4"/>
        <v>0</v>
      </c>
      <c r="J33" s="4">
        <f t="shared" si="5"/>
        <v>0</v>
      </c>
      <c r="K33" s="4">
        <f t="shared" si="6"/>
        <v>0</v>
      </c>
      <c r="L33" s="2">
        <f t="shared" si="0"/>
        <v>0</v>
      </c>
    </row>
    <row r="34" spans="5:12" x14ac:dyDescent="0.35">
      <c r="E34">
        <v>83.200000000000301</v>
      </c>
      <c r="F34" s="4">
        <f t="shared" si="1"/>
        <v>0</v>
      </c>
      <c r="G34" s="4">
        <f t="shared" si="7"/>
        <v>0</v>
      </c>
      <c r="H34" s="4">
        <f t="shared" si="3"/>
        <v>0</v>
      </c>
      <c r="I34" s="4">
        <f t="shared" si="4"/>
        <v>0</v>
      </c>
      <c r="J34" s="4">
        <f t="shared" si="5"/>
        <v>0</v>
      </c>
      <c r="K34" s="4">
        <f t="shared" si="6"/>
        <v>0</v>
      </c>
      <c r="L34" s="2">
        <f t="shared" si="0"/>
        <v>0</v>
      </c>
    </row>
    <row r="35" spans="5:12" x14ac:dyDescent="0.35">
      <c r="E35">
        <v>83.300000000000296</v>
      </c>
      <c r="F35" s="4">
        <f t="shared" si="1"/>
        <v>0</v>
      </c>
      <c r="G35" s="4">
        <f t="shared" si="7"/>
        <v>0</v>
      </c>
      <c r="H35" s="4">
        <f t="shared" si="3"/>
        <v>0</v>
      </c>
      <c r="I35" s="4">
        <f t="shared" si="4"/>
        <v>0</v>
      </c>
      <c r="J35" s="4">
        <f t="shared" si="5"/>
        <v>0</v>
      </c>
      <c r="K35" s="4">
        <f t="shared" si="6"/>
        <v>0</v>
      </c>
      <c r="L35" s="2">
        <f t="shared" ref="L35:L66" si="8">IF(E35&gt;$L$1,1,0)</f>
        <v>0</v>
      </c>
    </row>
    <row r="36" spans="5:12" x14ac:dyDescent="0.35">
      <c r="E36">
        <v>83.400000000000304</v>
      </c>
      <c r="F36" s="4">
        <f t="shared" si="1"/>
        <v>0</v>
      </c>
      <c r="G36" s="4">
        <f t="shared" si="7"/>
        <v>0</v>
      </c>
      <c r="H36" s="4">
        <f t="shared" si="3"/>
        <v>0</v>
      </c>
      <c r="I36" s="4">
        <f t="shared" si="4"/>
        <v>0</v>
      </c>
      <c r="J36" s="4">
        <f t="shared" si="5"/>
        <v>0</v>
      </c>
      <c r="K36" s="4">
        <f t="shared" si="6"/>
        <v>0</v>
      </c>
      <c r="L36" s="2">
        <f t="shared" si="8"/>
        <v>0</v>
      </c>
    </row>
    <row r="37" spans="5:12" x14ac:dyDescent="0.35">
      <c r="E37">
        <v>83.500000000000298</v>
      </c>
      <c r="F37" s="4">
        <f t="shared" si="1"/>
        <v>0</v>
      </c>
      <c r="G37" s="4">
        <f t="shared" si="7"/>
        <v>0</v>
      </c>
      <c r="H37" s="4">
        <f t="shared" si="3"/>
        <v>0</v>
      </c>
      <c r="I37" s="4">
        <f t="shared" si="4"/>
        <v>0</v>
      </c>
      <c r="J37" s="4">
        <f t="shared" si="5"/>
        <v>0</v>
      </c>
      <c r="K37" s="4">
        <f t="shared" si="6"/>
        <v>0</v>
      </c>
      <c r="L37" s="2">
        <f t="shared" si="8"/>
        <v>0</v>
      </c>
    </row>
    <row r="38" spans="5:12" x14ac:dyDescent="0.35">
      <c r="E38">
        <v>83.600000000000307</v>
      </c>
      <c r="F38" s="4">
        <f t="shared" si="1"/>
        <v>0</v>
      </c>
      <c r="G38" s="4">
        <f t="shared" si="7"/>
        <v>0</v>
      </c>
      <c r="H38" s="4">
        <f t="shared" si="3"/>
        <v>0</v>
      </c>
      <c r="I38" s="4">
        <f t="shared" si="4"/>
        <v>0</v>
      </c>
      <c r="J38" s="4">
        <f t="shared" si="5"/>
        <v>0</v>
      </c>
      <c r="K38" s="4">
        <f t="shared" si="6"/>
        <v>0</v>
      </c>
      <c r="L38" s="2">
        <f t="shared" si="8"/>
        <v>0</v>
      </c>
    </row>
    <row r="39" spans="5:12" x14ac:dyDescent="0.35">
      <c r="E39">
        <v>83.700000000000301</v>
      </c>
      <c r="F39" s="4">
        <f t="shared" si="1"/>
        <v>0</v>
      </c>
      <c r="G39" s="4">
        <f t="shared" si="7"/>
        <v>0</v>
      </c>
      <c r="H39" s="4">
        <f t="shared" si="3"/>
        <v>0</v>
      </c>
      <c r="I39" s="4">
        <f t="shared" si="4"/>
        <v>0</v>
      </c>
      <c r="J39" s="4">
        <f t="shared" si="5"/>
        <v>0</v>
      </c>
      <c r="K39" s="4">
        <f t="shared" si="6"/>
        <v>0</v>
      </c>
      <c r="L39" s="2">
        <f t="shared" si="8"/>
        <v>0</v>
      </c>
    </row>
    <row r="40" spans="5:12" x14ac:dyDescent="0.35">
      <c r="E40">
        <v>83.800000000000296</v>
      </c>
      <c r="F40" s="4">
        <f t="shared" si="1"/>
        <v>0</v>
      </c>
      <c r="G40" s="4">
        <f t="shared" si="7"/>
        <v>0</v>
      </c>
      <c r="H40" s="4">
        <f t="shared" si="3"/>
        <v>0</v>
      </c>
      <c r="I40" s="4">
        <f t="shared" si="4"/>
        <v>0</v>
      </c>
      <c r="J40" s="4">
        <f t="shared" si="5"/>
        <v>0</v>
      </c>
      <c r="K40" s="4">
        <f t="shared" si="6"/>
        <v>0</v>
      </c>
      <c r="L40" s="2">
        <f t="shared" si="8"/>
        <v>0</v>
      </c>
    </row>
    <row r="41" spans="5:12" x14ac:dyDescent="0.35">
      <c r="E41">
        <v>83.900000000000304</v>
      </c>
      <c r="F41" s="4">
        <f t="shared" si="1"/>
        <v>0</v>
      </c>
      <c r="G41" s="4">
        <f t="shared" si="7"/>
        <v>0</v>
      </c>
      <c r="H41" s="4">
        <f t="shared" si="3"/>
        <v>0</v>
      </c>
      <c r="I41" s="4">
        <f t="shared" si="4"/>
        <v>0</v>
      </c>
      <c r="J41" s="4">
        <f t="shared" si="5"/>
        <v>0</v>
      </c>
      <c r="K41" s="4">
        <f t="shared" si="6"/>
        <v>0</v>
      </c>
      <c r="L41" s="2">
        <f t="shared" si="8"/>
        <v>0</v>
      </c>
    </row>
    <row r="42" spans="5:12" x14ac:dyDescent="0.35">
      <c r="E42">
        <v>84.000000000000298</v>
      </c>
      <c r="F42" s="4">
        <f t="shared" si="1"/>
        <v>0</v>
      </c>
      <c r="G42" s="4">
        <f t="shared" si="7"/>
        <v>0</v>
      </c>
      <c r="H42" s="4">
        <f t="shared" si="3"/>
        <v>0</v>
      </c>
      <c r="I42" s="4">
        <f t="shared" si="4"/>
        <v>2.9842794901924208E-13</v>
      </c>
      <c r="J42" s="4">
        <f t="shared" si="5"/>
        <v>0</v>
      </c>
      <c r="K42" s="4">
        <f t="shared" si="6"/>
        <v>7.460698725481052E-14</v>
      </c>
      <c r="L42" s="2">
        <f t="shared" si="8"/>
        <v>0</v>
      </c>
    </row>
    <row r="43" spans="5:12" x14ac:dyDescent="0.35">
      <c r="E43">
        <v>84.100000000000307</v>
      </c>
      <c r="F43" s="4">
        <f t="shared" si="1"/>
        <v>0</v>
      </c>
      <c r="G43" s="4">
        <f t="shared" si="7"/>
        <v>0</v>
      </c>
      <c r="H43" s="4">
        <f t="shared" si="3"/>
        <v>0</v>
      </c>
      <c r="I43" s="4">
        <f t="shared" si="4"/>
        <v>0.10000000000030695</v>
      </c>
      <c r="J43" s="4">
        <f t="shared" si="5"/>
        <v>0</v>
      </c>
      <c r="K43" s="4">
        <f t="shared" si="6"/>
        <v>2.5000000000076739E-2</v>
      </c>
      <c r="L43" s="2">
        <f t="shared" si="8"/>
        <v>0</v>
      </c>
    </row>
    <row r="44" spans="5:12" x14ac:dyDescent="0.35">
      <c r="E44">
        <v>84.200000000000301</v>
      </c>
      <c r="F44" s="4">
        <f t="shared" si="1"/>
        <v>0</v>
      </c>
      <c r="G44" s="4">
        <f t="shared" si="7"/>
        <v>0</v>
      </c>
      <c r="H44" s="4">
        <f t="shared" si="3"/>
        <v>0</v>
      </c>
      <c r="I44" s="4">
        <f t="shared" si="4"/>
        <v>0.20000000000030127</v>
      </c>
      <c r="J44" s="4">
        <f t="shared" si="5"/>
        <v>0</v>
      </c>
      <c r="K44" s="4">
        <f t="shared" si="6"/>
        <v>5.0000000000075318E-2</v>
      </c>
      <c r="L44" s="2">
        <f t="shared" si="8"/>
        <v>0</v>
      </c>
    </row>
    <row r="45" spans="5:12" x14ac:dyDescent="0.35">
      <c r="E45">
        <v>84.300000000000395</v>
      </c>
      <c r="F45" s="4">
        <f t="shared" si="1"/>
        <v>0</v>
      </c>
      <c r="G45" s="4">
        <f t="shared" si="7"/>
        <v>0</v>
      </c>
      <c r="H45" s="4">
        <f t="shared" si="3"/>
        <v>0</v>
      </c>
      <c r="I45" s="4">
        <f t="shared" si="4"/>
        <v>0.30000000000039506</v>
      </c>
      <c r="J45" s="4">
        <f t="shared" si="5"/>
        <v>0</v>
      </c>
      <c r="K45" s="4">
        <f t="shared" si="6"/>
        <v>7.5000000000098765E-2</v>
      </c>
      <c r="L45" s="2">
        <f t="shared" si="8"/>
        <v>0</v>
      </c>
    </row>
    <row r="46" spans="5:12" x14ac:dyDescent="0.35">
      <c r="E46">
        <v>84.400000000000404</v>
      </c>
      <c r="F46" s="4">
        <f t="shared" si="1"/>
        <v>0</v>
      </c>
      <c r="G46" s="4">
        <f t="shared" si="7"/>
        <v>0</v>
      </c>
      <c r="H46" s="4">
        <f t="shared" si="3"/>
        <v>0</v>
      </c>
      <c r="I46" s="4">
        <f t="shared" si="4"/>
        <v>0.40000000000040359</v>
      </c>
      <c r="J46" s="4">
        <f t="shared" si="5"/>
        <v>0</v>
      </c>
      <c r="K46" s="4">
        <f t="shared" si="6"/>
        <v>0.1000000000001009</v>
      </c>
      <c r="L46" s="2">
        <f t="shared" si="8"/>
        <v>0</v>
      </c>
    </row>
    <row r="47" spans="5:12" x14ac:dyDescent="0.35">
      <c r="E47">
        <v>84.500000000000398</v>
      </c>
      <c r="F47" s="4">
        <f t="shared" si="1"/>
        <v>0</v>
      </c>
      <c r="G47" s="4">
        <f t="shared" si="7"/>
        <v>0</v>
      </c>
      <c r="H47" s="4">
        <f t="shared" si="3"/>
        <v>0</v>
      </c>
      <c r="I47" s="4">
        <f t="shared" si="4"/>
        <v>0.5000000000003979</v>
      </c>
      <c r="J47" s="4">
        <f t="shared" si="5"/>
        <v>0</v>
      </c>
      <c r="K47" s="4">
        <f t="shared" si="6"/>
        <v>0.12500000000009948</v>
      </c>
      <c r="L47" s="2">
        <f t="shared" si="8"/>
        <v>0</v>
      </c>
    </row>
    <row r="48" spans="5:12" x14ac:dyDescent="0.35">
      <c r="E48">
        <v>84.600000000000406</v>
      </c>
      <c r="F48" s="4">
        <f t="shared" si="1"/>
        <v>0</v>
      </c>
      <c r="G48" s="4">
        <f t="shared" si="7"/>
        <v>0</v>
      </c>
      <c r="H48" s="4">
        <f t="shared" si="3"/>
        <v>0</v>
      </c>
      <c r="I48" s="4">
        <f t="shared" si="4"/>
        <v>0.60000000000040643</v>
      </c>
      <c r="J48" s="4">
        <f t="shared" si="5"/>
        <v>0</v>
      </c>
      <c r="K48" s="4">
        <f t="shared" si="6"/>
        <v>0.15000000000010161</v>
      </c>
      <c r="L48" s="2">
        <f t="shared" si="8"/>
        <v>0</v>
      </c>
    </row>
    <row r="49" spans="5:12" x14ac:dyDescent="0.35">
      <c r="E49">
        <v>84.700000000000401</v>
      </c>
      <c r="F49" s="4">
        <f t="shared" si="1"/>
        <v>0</v>
      </c>
      <c r="G49" s="4">
        <f t="shared" si="7"/>
        <v>0</v>
      </c>
      <c r="H49" s="4">
        <f t="shared" si="3"/>
        <v>0</v>
      </c>
      <c r="I49" s="4">
        <f t="shared" si="4"/>
        <v>0.70000000000040075</v>
      </c>
      <c r="J49" s="4">
        <f t="shared" si="5"/>
        <v>0</v>
      </c>
      <c r="K49" s="4">
        <f t="shared" si="6"/>
        <v>0.17500000000010019</v>
      </c>
      <c r="L49" s="2">
        <f t="shared" si="8"/>
        <v>0</v>
      </c>
    </row>
    <row r="50" spans="5:12" x14ac:dyDescent="0.35">
      <c r="E50">
        <v>84.800000000000395</v>
      </c>
      <c r="F50" s="4">
        <f t="shared" si="1"/>
        <v>0</v>
      </c>
      <c r="G50" s="4">
        <f t="shared" si="7"/>
        <v>0</v>
      </c>
      <c r="H50" s="4">
        <f t="shared" si="3"/>
        <v>0</v>
      </c>
      <c r="I50" s="4">
        <f t="shared" si="4"/>
        <v>0.80000000000039506</v>
      </c>
      <c r="J50" s="4">
        <f t="shared" si="5"/>
        <v>0</v>
      </c>
      <c r="K50" s="4">
        <f t="shared" si="6"/>
        <v>0.20000000000009877</v>
      </c>
      <c r="L50" s="2">
        <f t="shared" si="8"/>
        <v>0</v>
      </c>
    </row>
    <row r="51" spans="5:12" x14ac:dyDescent="0.35">
      <c r="E51">
        <v>84.900000000000404</v>
      </c>
      <c r="F51" s="4">
        <f t="shared" si="1"/>
        <v>0</v>
      </c>
      <c r="G51" s="4">
        <f t="shared" si="7"/>
        <v>0</v>
      </c>
      <c r="H51" s="4">
        <f t="shared" si="3"/>
        <v>0</v>
      </c>
      <c r="I51" s="4">
        <f t="shared" si="4"/>
        <v>0.90000000000040359</v>
      </c>
      <c r="J51" s="4">
        <f t="shared" si="5"/>
        <v>0</v>
      </c>
      <c r="K51" s="4">
        <f t="shared" si="6"/>
        <v>0.2250000000001009</v>
      </c>
      <c r="L51" s="2">
        <f t="shared" si="8"/>
        <v>0</v>
      </c>
    </row>
    <row r="52" spans="5:12" x14ac:dyDescent="0.35">
      <c r="E52">
        <v>85.000000000000398</v>
      </c>
      <c r="F52" s="4">
        <f t="shared" si="1"/>
        <v>3.979039320256561E-13</v>
      </c>
      <c r="G52" s="4">
        <f t="shared" si="7"/>
        <v>0</v>
      </c>
      <c r="H52" s="4">
        <f t="shared" si="3"/>
        <v>1.9895196601282805E-13</v>
      </c>
      <c r="I52" s="4">
        <f t="shared" si="4"/>
        <v>1.0000000000003979</v>
      </c>
      <c r="J52" s="4">
        <f t="shared" si="5"/>
        <v>0</v>
      </c>
      <c r="K52" s="4">
        <f t="shared" si="6"/>
        <v>0.25000000000009948</v>
      </c>
      <c r="L52" s="2">
        <f t="shared" si="8"/>
        <v>0</v>
      </c>
    </row>
    <row r="53" spans="5:12" x14ac:dyDescent="0.35">
      <c r="E53">
        <v>85.100000000000406</v>
      </c>
      <c r="F53" s="4">
        <f t="shared" si="1"/>
        <v>0.10000000000040643</v>
      </c>
      <c r="G53" s="4">
        <f t="shared" si="7"/>
        <v>0</v>
      </c>
      <c r="H53" s="4">
        <f t="shared" si="3"/>
        <v>5.0000000000203215E-2</v>
      </c>
      <c r="I53" s="4">
        <f t="shared" si="4"/>
        <v>1.1000000000004064</v>
      </c>
      <c r="J53" s="4">
        <f t="shared" si="5"/>
        <v>0</v>
      </c>
      <c r="K53" s="4">
        <f t="shared" si="6"/>
        <v>0.27500000000010161</v>
      </c>
      <c r="L53" s="2">
        <f t="shared" si="8"/>
        <v>0</v>
      </c>
    </row>
    <row r="54" spans="5:12" x14ac:dyDescent="0.35">
      <c r="E54">
        <v>85.200000000000401</v>
      </c>
      <c r="F54" s="4">
        <f t="shared" si="1"/>
        <v>0.20000000000040075</v>
      </c>
      <c r="G54" s="4">
        <f t="shared" si="7"/>
        <v>0</v>
      </c>
      <c r="H54" s="4">
        <f t="shared" si="3"/>
        <v>0.10000000000020037</v>
      </c>
      <c r="I54" s="4">
        <f t="shared" si="4"/>
        <v>1.2000000000004007</v>
      </c>
      <c r="J54" s="4">
        <f t="shared" si="5"/>
        <v>0</v>
      </c>
      <c r="K54" s="4">
        <f t="shared" si="6"/>
        <v>0.30000000000010019</v>
      </c>
      <c r="L54" s="2">
        <f t="shared" si="8"/>
        <v>0</v>
      </c>
    </row>
    <row r="55" spans="5:12" x14ac:dyDescent="0.35">
      <c r="E55">
        <v>85.300000000000395</v>
      </c>
      <c r="F55" s="4">
        <f t="shared" si="1"/>
        <v>0.30000000000039506</v>
      </c>
      <c r="G55" s="4">
        <f t="shared" si="7"/>
        <v>0</v>
      </c>
      <c r="H55" s="4">
        <f t="shared" si="3"/>
        <v>0.15000000000019753</v>
      </c>
      <c r="I55" s="4">
        <f t="shared" si="4"/>
        <v>1.3000000000003951</v>
      </c>
      <c r="J55" s="4">
        <f t="shared" si="5"/>
        <v>0</v>
      </c>
      <c r="K55" s="4">
        <f t="shared" si="6"/>
        <v>0.32500000000009877</v>
      </c>
      <c r="L55" s="2">
        <f t="shared" si="8"/>
        <v>0</v>
      </c>
    </row>
    <row r="56" spans="5:12" x14ac:dyDescent="0.35">
      <c r="E56">
        <v>85.400000000000404</v>
      </c>
      <c r="F56" s="4">
        <f t="shared" si="1"/>
        <v>0.40000000000040359</v>
      </c>
      <c r="G56" s="4">
        <f t="shared" si="7"/>
        <v>0</v>
      </c>
      <c r="H56" s="4">
        <f t="shared" si="3"/>
        <v>0.20000000000020179</v>
      </c>
      <c r="I56" s="4">
        <f t="shared" si="4"/>
        <v>1.4000000000004036</v>
      </c>
      <c r="J56" s="4">
        <f t="shared" si="5"/>
        <v>0</v>
      </c>
      <c r="K56" s="4">
        <f t="shared" si="6"/>
        <v>0.3500000000001009</v>
      </c>
      <c r="L56" s="2">
        <f t="shared" si="8"/>
        <v>0</v>
      </c>
    </row>
    <row r="57" spans="5:12" x14ac:dyDescent="0.35">
      <c r="E57">
        <v>85.500000000000497</v>
      </c>
      <c r="F57" s="4">
        <f t="shared" si="1"/>
        <v>0.50000000000049738</v>
      </c>
      <c r="G57" s="4">
        <f t="shared" si="7"/>
        <v>0</v>
      </c>
      <c r="H57" s="4">
        <f t="shared" si="3"/>
        <v>0.25000000000024869</v>
      </c>
      <c r="I57" s="4">
        <f t="shared" si="4"/>
        <v>1.5000000000004974</v>
      </c>
      <c r="J57" s="4">
        <f t="shared" si="5"/>
        <v>0</v>
      </c>
      <c r="K57" s="4">
        <f t="shared" si="6"/>
        <v>0.37500000000012434</v>
      </c>
      <c r="L57" s="2">
        <f t="shared" si="8"/>
        <v>0</v>
      </c>
    </row>
    <row r="58" spans="5:12" x14ac:dyDescent="0.35">
      <c r="E58">
        <v>85.600000000000506</v>
      </c>
      <c r="F58" s="4">
        <f t="shared" si="1"/>
        <v>0.60000000000050591</v>
      </c>
      <c r="G58" s="4">
        <f t="shared" si="7"/>
        <v>0</v>
      </c>
      <c r="H58" s="4">
        <f t="shared" si="3"/>
        <v>0.30000000000025295</v>
      </c>
      <c r="I58" s="4">
        <f t="shared" si="4"/>
        <v>1.6000000000005059</v>
      </c>
      <c r="J58" s="4">
        <f t="shared" si="5"/>
        <v>0</v>
      </c>
      <c r="K58" s="4">
        <f t="shared" si="6"/>
        <v>0.40000000000012648</v>
      </c>
      <c r="L58" s="2">
        <f t="shared" si="8"/>
        <v>0</v>
      </c>
    </row>
    <row r="59" spans="5:12" x14ac:dyDescent="0.35">
      <c r="E59">
        <v>85.7000000000005</v>
      </c>
      <c r="F59" s="4">
        <f t="shared" si="1"/>
        <v>0.70000000000050022</v>
      </c>
      <c r="G59" s="4">
        <f t="shared" si="7"/>
        <v>0</v>
      </c>
      <c r="H59" s="4">
        <f t="shared" si="3"/>
        <v>0.35000000000025011</v>
      </c>
      <c r="I59" s="4">
        <f t="shared" si="4"/>
        <v>1.7000000000005002</v>
      </c>
      <c r="J59" s="4">
        <f t="shared" si="5"/>
        <v>0</v>
      </c>
      <c r="K59" s="4">
        <f t="shared" si="6"/>
        <v>0.42500000000012506</v>
      </c>
      <c r="L59" s="2">
        <f t="shared" si="8"/>
        <v>0</v>
      </c>
    </row>
    <row r="60" spans="5:12" x14ac:dyDescent="0.35">
      <c r="E60">
        <v>85.800000000000495</v>
      </c>
      <c r="F60" s="4">
        <f t="shared" si="1"/>
        <v>0.80000000000049454</v>
      </c>
      <c r="G60" s="4">
        <f t="shared" si="7"/>
        <v>0</v>
      </c>
      <c r="H60" s="4">
        <f t="shared" si="3"/>
        <v>0.40000000000024727</v>
      </c>
      <c r="I60" s="4">
        <f t="shared" si="4"/>
        <v>1.8000000000004945</v>
      </c>
      <c r="J60" s="4">
        <f t="shared" si="5"/>
        <v>0</v>
      </c>
      <c r="K60" s="4">
        <f t="shared" si="6"/>
        <v>0.45000000000012363</v>
      </c>
      <c r="L60" s="2">
        <f t="shared" si="8"/>
        <v>0</v>
      </c>
    </row>
    <row r="61" spans="5:12" x14ac:dyDescent="0.35">
      <c r="E61">
        <v>85.900000000000503</v>
      </c>
      <c r="F61" s="4">
        <f t="shared" si="1"/>
        <v>0.90000000000050306</v>
      </c>
      <c r="G61" s="4">
        <f t="shared" si="7"/>
        <v>0</v>
      </c>
      <c r="H61" s="4">
        <f t="shared" si="3"/>
        <v>0.45000000000025153</v>
      </c>
      <c r="I61" s="4">
        <f t="shared" si="4"/>
        <v>1.9000000000005031</v>
      </c>
      <c r="J61" s="4">
        <f t="shared" si="5"/>
        <v>0</v>
      </c>
      <c r="K61" s="4">
        <f t="shared" si="6"/>
        <v>0.47500000000012577</v>
      </c>
      <c r="L61" s="2">
        <f t="shared" si="8"/>
        <v>0</v>
      </c>
    </row>
    <row r="62" spans="5:12" x14ac:dyDescent="0.35">
      <c r="E62">
        <v>86.000000000000497</v>
      </c>
      <c r="F62" s="4">
        <f t="shared" si="1"/>
        <v>1.0000000000004974</v>
      </c>
      <c r="G62" s="4">
        <f t="shared" si="7"/>
        <v>0</v>
      </c>
      <c r="H62" s="4">
        <f t="shared" si="3"/>
        <v>0.50000000000024869</v>
      </c>
      <c r="I62" s="4">
        <f t="shared" si="4"/>
        <v>2.0000000000004974</v>
      </c>
      <c r="J62" s="4">
        <f t="shared" si="5"/>
        <v>0</v>
      </c>
      <c r="K62" s="4">
        <f t="shared" si="6"/>
        <v>0.50000000000012434</v>
      </c>
      <c r="L62" s="2">
        <f t="shared" si="8"/>
        <v>1</v>
      </c>
    </row>
    <row r="63" spans="5:12" x14ac:dyDescent="0.35">
      <c r="E63">
        <v>86.100000000000506</v>
      </c>
      <c r="F63" s="4">
        <f t="shared" si="1"/>
        <v>1.1000000000005059</v>
      </c>
      <c r="G63" s="4">
        <f t="shared" si="7"/>
        <v>0</v>
      </c>
      <c r="H63" s="4">
        <f t="shared" si="3"/>
        <v>0.55000000000025295</v>
      </c>
      <c r="I63" s="4">
        <f t="shared" si="4"/>
        <v>2.1000000000005059</v>
      </c>
      <c r="J63" s="4">
        <f t="shared" si="5"/>
        <v>0</v>
      </c>
      <c r="K63" s="4">
        <f t="shared" si="6"/>
        <v>0.52500000000012648</v>
      </c>
      <c r="L63" s="2">
        <f t="shared" si="8"/>
        <v>1</v>
      </c>
    </row>
    <row r="64" spans="5:12" x14ac:dyDescent="0.35">
      <c r="E64">
        <v>86.2000000000005</v>
      </c>
      <c r="F64" s="4">
        <f t="shared" si="1"/>
        <v>1.2000000000005002</v>
      </c>
      <c r="G64" s="4">
        <f t="shared" si="7"/>
        <v>0</v>
      </c>
      <c r="H64" s="4">
        <f t="shared" si="3"/>
        <v>0.60000000000025011</v>
      </c>
      <c r="I64" s="4">
        <f t="shared" si="4"/>
        <v>2.2000000000005002</v>
      </c>
      <c r="J64" s="4">
        <f t="shared" si="5"/>
        <v>0</v>
      </c>
      <c r="K64" s="4">
        <f t="shared" si="6"/>
        <v>0.55000000000012506</v>
      </c>
      <c r="L64" s="2">
        <f t="shared" si="8"/>
        <v>1</v>
      </c>
    </row>
    <row r="65" spans="5:12" x14ac:dyDescent="0.35">
      <c r="E65">
        <v>86.300000000000495</v>
      </c>
      <c r="F65" s="4">
        <f t="shared" si="1"/>
        <v>1.3000000000004945</v>
      </c>
      <c r="G65" s="4">
        <f t="shared" si="7"/>
        <v>0</v>
      </c>
      <c r="H65" s="4">
        <f t="shared" si="3"/>
        <v>0.65000000000024727</v>
      </c>
      <c r="I65" s="4">
        <f t="shared" si="4"/>
        <v>2.3000000000004945</v>
      </c>
      <c r="J65" s="4">
        <f t="shared" si="5"/>
        <v>0</v>
      </c>
      <c r="K65" s="4">
        <f t="shared" si="6"/>
        <v>0.57500000000012363</v>
      </c>
      <c r="L65" s="2">
        <f t="shared" si="8"/>
        <v>1</v>
      </c>
    </row>
    <row r="66" spans="5:12" x14ac:dyDescent="0.35">
      <c r="E66">
        <v>86.400000000000503</v>
      </c>
      <c r="F66" s="4">
        <f t="shared" si="1"/>
        <v>1.4000000000005031</v>
      </c>
      <c r="G66" s="4">
        <f t="shared" si="7"/>
        <v>0</v>
      </c>
      <c r="H66" s="4">
        <f t="shared" si="3"/>
        <v>0.70000000000025153</v>
      </c>
      <c r="I66" s="4">
        <f t="shared" si="4"/>
        <v>2.4000000000005031</v>
      </c>
      <c r="J66" s="4">
        <f t="shared" si="5"/>
        <v>0</v>
      </c>
      <c r="K66" s="4">
        <f t="shared" si="6"/>
        <v>0.60000000000012577</v>
      </c>
      <c r="L66" s="2">
        <f t="shared" si="8"/>
        <v>1</v>
      </c>
    </row>
    <row r="67" spans="5:12" x14ac:dyDescent="0.35">
      <c r="E67">
        <v>86.500000000000497</v>
      </c>
      <c r="F67" s="4">
        <f t="shared" si="1"/>
        <v>1.5000000000004974</v>
      </c>
      <c r="G67" s="4">
        <f t="shared" si="7"/>
        <v>0</v>
      </c>
      <c r="H67" s="4">
        <f t="shared" si="3"/>
        <v>0.75000000000024869</v>
      </c>
      <c r="I67" s="4">
        <f t="shared" si="4"/>
        <v>2.5000000000004974</v>
      </c>
      <c r="J67" s="4">
        <f t="shared" si="5"/>
        <v>0</v>
      </c>
      <c r="K67" s="4">
        <f t="shared" si="6"/>
        <v>0.62500000000012434</v>
      </c>
      <c r="L67" s="2">
        <f t="shared" ref="L67:L98" si="9">IF(E67&gt;$L$1,1,0)</f>
        <v>1</v>
      </c>
    </row>
    <row r="68" spans="5:12" x14ac:dyDescent="0.35">
      <c r="E68">
        <v>86.600000000000506</v>
      </c>
      <c r="F68" s="4">
        <f t="shared" ref="F68:F122" si="10">MAX(E68-$F$1,0)</f>
        <v>1.6000000000005059</v>
      </c>
      <c r="G68" s="4">
        <f t="shared" si="7"/>
        <v>0</v>
      </c>
      <c r="H68" s="4">
        <f t="shared" ref="H68:H122" si="11">(F68+G68)/($G$1-$F$1)</f>
        <v>0.80000000000025295</v>
      </c>
      <c r="I68" s="4">
        <f t="shared" ref="I68:I122" si="12">MAX(E68-$I$1,0)</f>
        <v>2.6000000000005059</v>
      </c>
      <c r="J68" s="4">
        <f t="shared" ref="J68:J122" si="13">-MAX(E68-$J$1,0)</f>
        <v>0</v>
      </c>
      <c r="K68" s="4">
        <f t="shared" ref="K68:K122" si="14">(I68+J68)/($J$1-$I$1)</f>
        <v>0.65000000000012648</v>
      </c>
      <c r="L68" s="2">
        <f t="shared" si="9"/>
        <v>1</v>
      </c>
    </row>
    <row r="69" spans="5:12" x14ac:dyDescent="0.35">
      <c r="E69">
        <v>86.7000000000006</v>
      </c>
      <c r="F69" s="4">
        <f t="shared" si="10"/>
        <v>1.7000000000005997</v>
      </c>
      <c r="G69" s="4">
        <f t="shared" si="7"/>
        <v>0</v>
      </c>
      <c r="H69" s="4">
        <f t="shared" si="11"/>
        <v>0.85000000000029985</v>
      </c>
      <c r="I69" s="4">
        <f t="shared" si="12"/>
        <v>2.7000000000005997</v>
      </c>
      <c r="J69" s="4">
        <f t="shared" si="13"/>
        <v>0</v>
      </c>
      <c r="K69" s="4">
        <f t="shared" si="14"/>
        <v>0.67500000000014992</v>
      </c>
      <c r="L69" s="2">
        <f t="shared" si="9"/>
        <v>1</v>
      </c>
    </row>
    <row r="70" spans="5:12" x14ac:dyDescent="0.35">
      <c r="E70">
        <v>86.800000000000594</v>
      </c>
      <c r="F70" s="4">
        <f t="shared" si="10"/>
        <v>1.800000000000594</v>
      </c>
      <c r="G70" s="4">
        <f t="shared" si="7"/>
        <v>0</v>
      </c>
      <c r="H70" s="4">
        <f t="shared" si="11"/>
        <v>0.90000000000029701</v>
      </c>
      <c r="I70" s="4">
        <f t="shared" si="12"/>
        <v>2.800000000000594</v>
      </c>
      <c r="J70" s="4">
        <f t="shared" si="13"/>
        <v>0</v>
      </c>
      <c r="K70" s="4">
        <f t="shared" si="14"/>
        <v>0.7000000000001485</v>
      </c>
      <c r="L70" s="2">
        <f t="shared" si="9"/>
        <v>1</v>
      </c>
    </row>
    <row r="71" spans="5:12" x14ac:dyDescent="0.35">
      <c r="E71">
        <v>86.900000000000603</v>
      </c>
      <c r="F71" s="4">
        <f t="shared" si="10"/>
        <v>1.9000000000006025</v>
      </c>
      <c r="G71" s="4">
        <f t="shared" si="7"/>
        <v>0</v>
      </c>
      <c r="H71" s="4">
        <f t="shared" si="11"/>
        <v>0.95000000000030127</v>
      </c>
      <c r="I71" s="4">
        <f t="shared" si="12"/>
        <v>2.9000000000006025</v>
      </c>
      <c r="J71" s="4">
        <f t="shared" si="13"/>
        <v>0</v>
      </c>
      <c r="K71" s="4">
        <f t="shared" si="14"/>
        <v>0.72500000000015064</v>
      </c>
      <c r="L71" s="2">
        <f t="shared" si="9"/>
        <v>1</v>
      </c>
    </row>
    <row r="72" spans="5:12" x14ac:dyDescent="0.35">
      <c r="E72">
        <v>87.000000000000597</v>
      </c>
      <c r="F72" s="4">
        <f t="shared" si="10"/>
        <v>2.0000000000005969</v>
      </c>
      <c r="G72" s="4">
        <f t="shared" si="7"/>
        <v>-5.9685589803848416E-13</v>
      </c>
      <c r="H72" s="4">
        <f t="shared" si="11"/>
        <v>1</v>
      </c>
      <c r="I72" s="4">
        <f t="shared" si="12"/>
        <v>3.0000000000005969</v>
      </c>
      <c r="J72" s="4">
        <f t="shared" si="13"/>
        <v>0</v>
      </c>
      <c r="K72" s="4">
        <f t="shared" si="14"/>
        <v>0.75000000000014921</v>
      </c>
      <c r="L72" s="2">
        <f t="shared" si="9"/>
        <v>1</v>
      </c>
    </row>
    <row r="73" spans="5:12" x14ac:dyDescent="0.35">
      <c r="E73">
        <v>87.100000000000605</v>
      </c>
      <c r="F73" s="4">
        <f t="shared" si="10"/>
        <v>2.1000000000006054</v>
      </c>
      <c r="G73" s="4">
        <f t="shared" si="7"/>
        <v>-0.10000000000060538</v>
      </c>
      <c r="H73" s="4">
        <f t="shared" si="11"/>
        <v>1</v>
      </c>
      <c r="I73" s="4">
        <f t="shared" si="12"/>
        <v>3.1000000000006054</v>
      </c>
      <c r="J73" s="4">
        <f t="shared" si="13"/>
        <v>0</v>
      </c>
      <c r="K73" s="4">
        <f t="shared" si="14"/>
        <v>0.77500000000015135</v>
      </c>
      <c r="L73" s="2">
        <f t="shared" si="9"/>
        <v>1</v>
      </c>
    </row>
    <row r="74" spans="5:12" x14ac:dyDescent="0.35">
      <c r="E74">
        <v>87.2000000000006</v>
      </c>
      <c r="F74" s="4">
        <f t="shared" si="10"/>
        <v>2.2000000000005997</v>
      </c>
      <c r="G74" s="4">
        <f t="shared" si="7"/>
        <v>-0.2000000000005997</v>
      </c>
      <c r="H74" s="4">
        <f t="shared" si="11"/>
        <v>1</v>
      </c>
      <c r="I74" s="4">
        <f t="shared" si="12"/>
        <v>3.2000000000005997</v>
      </c>
      <c r="J74" s="4">
        <f t="shared" si="13"/>
        <v>0</v>
      </c>
      <c r="K74" s="4">
        <f t="shared" si="14"/>
        <v>0.80000000000014992</v>
      </c>
      <c r="L74" s="2">
        <f t="shared" si="9"/>
        <v>1</v>
      </c>
    </row>
    <row r="75" spans="5:12" x14ac:dyDescent="0.35">
      <c r="E75">
        <v>87.300000000000594</v>
      </c>
      <c r="F75" s="4">
        <f t="shared" si="10"/>
        <v>2.300000000000594</v>
      </c>
      <c r="G75" s="4">
        <f t="shared" si="7"/>
        <v>-0.30000000000059401</v>
      </c>
      <c r="H75" s="4">
        <f t="shared" si="11"/>
        <v>1</v>
      </c>
      <c r="I75" s="4">
        <f t="shared" si="12"/>
        <v>3.300000000000594</v>
      </c>
      <c r="J75" s="4">
        <f t="shared" si="13"/>
        <v>0</v>
      </c>
      <c r="K75" s="4">
        <f t="shared" si="14"/>
        <v>0.8250000000001485</v>
      </c>
      <c r="L75" s="2">
        <f t="shared" si="9"/>
        <v>1</v>
      </c>
    </row>
    <row r="76" spans="5:12" x14ac:dyDescent="0.35">
      <c r="E76">
        <v>87.400000000000603</v>
      </c>
      <c r="F76" s="4">
        <f t="shared" si="10"/>
        <v>2.4000000000006025</v>
      </c>
      <c r="G76" s="4">
        <f t="shared" si="7"/>
        <v>-0.40000000000060254</v>
      </c>
      <c r="H76" s="4">
        <f t="shared" si="11"/>
        <v>1</v>
      </c>
      <c r="I76" s="4">
        <f t="shared" si="12"/>
        <v>3.4000000000006025</v>
      </c>
      <c r="J76" s="4">
        <f t="shared" si="13"/>
        <v>0</v>
      </c>
      <c r="K76" s="4">
        <f t="shared" si="14"/>
        <v>0.85000000000015064</v>
      </c>
      <c r="L76" s="2">
        <f t="shared" si="9"/>
        <v>1</v>
      </c>
    </row>
    <row r="77" spans="5:12" x14ac:dyDescent="0.35">
      <c r="E77">
        <v>87.500000000000597</v>
      </c>
      <c r="F77" s="4">
        <f t="shared" si="10"/>
        <v>2.5000000000005969</v>
      </c>
      <c r="G77" s="4">
        <f t="shared" si="7"/>
        <v>-0.50000000000059686</v>
      </c>
      <c r="H77" s="4">
        <f t="shared" si="11"/>
        <v>1</v>
      </c>
      <c r="I77" s="4">
        <f t="shared" si="12"/>
        <v>3.5000000000005969</v>
      </c>
      <c r="J77" s="4">
        <f t="shared" si="13"/>
        <v>0</v>
      </c>
      <c r="K77" s="4">
        <f t="shared" si="14"/>
        <v>0.87500000000014921</v>
      </c>
      <c r="L77" s="2">
        <f t="shared" si="9"/>
        <v>1</v>
      </c>
    </row>
    <row r="78" spans="5:12" x14ac:dyDescent="0.35">
      <c r="E78">
        <v>87.600000000000605</v>
      </c>
      <c r="F78" s="4">
        <f t="shared" si="10"/>
        <v>2.6000000000006054</v>
      </c>
      <c r="G78" s="4">
        <f t="shared" si="7"/>
        <v>-0.60000000000060538</v>
      </c>
      <c r="H78" s="4">
        <f t="shared" si="11"/>
        <v>1</v>
      </c>
      <c r="I78" s="4">
        <f t="shared" si="12"/>
        <v>3.6000000000006054</v>
      </c>
      <c r="J78" s="4">
        <f t="shared" si="13"/>
        <v>0</v>
      </c>
      <c r="K78" s="4">
        <f t="shared" si="14"/>
        <v>0.90000000000015135</v>
      </c>
      <c r="L78" s="2">
        <f t="shared" si="9"/>
        <v>1</v>
      </c>
    </row>
    <row r="79" spans="5:12" x14ac:dyDescent="0.35">
      <c r="E79">
        <v>87.7000000000006</v>
      </c>
      <c r="F79" s="4">
        <f t="shared" si="10"/>
        <v>2.7000000000005997</v>
      </c>
      <c r="G79" s="4">
        <f t="shared" si="7"/>
        <v>-0.7000000000005997</v>
      </c>
      <c r="H79" s="4">
        <f t="shared" si="11"/>
        <v>1</v>
      </c>
      <c r="I79" s="4">
        <f t="shared" si="12"/>
        <v>3.7000000000005997</v>
      </c>
      <c r="J79" s="4">
        <f t="shared" si="13"/>
        <v>0</v>
      </c>
      <c r="K79" s="4">
        <f t="shared" si="14"/>
        <v>0.92500000000014992</v>
      </c>
      <c r="L79" s="2">
        <f t="shared" si="9"/>
        <v>1</v>
      </c>
    </row>
    <row r="80" spans="5:12" x14ac:dyDescent="0.35">
      <c r="E80">
        <v>87.800000000000693</v>
      </c>
      <c r="F80" s="4">
        <f t="shared" si="10"/>
        <v>2.8000000000006935</v>
      </c>
      <c r="G80" s="4">
        <f t="shared" si="7"/>
        <v>-0.80000000000069349</v>
      </c>
      <c r="H80" s="4">
        <f t="shared" si="11"/>
        <v>1</v>
      </c>
      <c r="I80" s="4">
        <f t="shared" si="12"/>
        <v>3.8000000000006935</v>
      </c>
      <c r="J80" s="4">
        <f t="shared" si="13"/>
        <v>0</v>
      </c>
      <c r="K80" s="4">
        <f t="shared" si="14"/>
        <v>0.95000000000017337</v>
      </c>
      <c r="L80" s="2">
        <f t="shared" si="9"/>
        <v>1</v>
      </c>
    </row>
    <row r="81" spans="5:12" x14ac:dyDescent="0.35">
      <c r="E81">
        <v>87.900000000000702</v>
      </c>
      <c r="F81" s="4">
        <f t="shared" si="10"/>
        <v>2.900000000000702</v>
      </c>
      <c r="G81" s="4">
        <f t="shared" si="7"/>
        <v>-0.90000000000070202</v>
      </c>
      <c r="H81" s="4">
        <f t="shared" si="11"/>
        <v>1</v>
      </c>
      <c r="I81" s="4">
        <f t="shared" si="12"/>
        <v>3.900000000000702</v>
      </c>
      <c r="J81" s="4">
        <f t="shared" si="13"/>
        <v>0</v>
      </c>
      <c r="K81" s="4">
        <f t="shared" si="14"/>
        <v>0.9750000000001755</v>
      </c>
      <c r="L81" s="2">
        <f t="shared" si="9"/>
        <v>1</v>
      </c>
    </row>
    <row r="82" spans="5:12" x14ac:dyDescent="0.35">
      <c r="E82">
        <v>88.000000000000696</v>
      </c>
      <c r="F82" s="4">
        <f t="shared" si="10"/>
        <v>3.0000000000006963</v>
      </c>
      <c r="G82" s="4">
        <f t="shared" si="7"/>
        <v>-1.0000000000006963</v>
      </c>
      <c r="H82" s="4">
        <f t="shared" si="11"/>
        <v>1</v>
      </c>
      <c r="I82" s="4">
        <f t="shared" si="12"/>
        <v>4.0000000000006963</v>
      </c>
      <c r="J82" s="4">
        <f t="shared" si="13"/>
        <v>-6.9633188104489818E-13</v>
      </c>
      <c r="K82" s="4">
        <f t="shared" si="14"/>
        <v>1</v>
      </c>
      <c r="L82" s="2">
        <f t="shared" si="9"/>
        <v>1</v>
      </c>
    </row>
    <row r="83" spans="5:12" x14ac:dyDescent="0.35">
      <c r="E83">
        <v>88.100000000000705</v>
      </c>
      <c r="F83" s="4">
        <f t="shared" si="10"/>
        <v>3.1000000000007049</v>
      </c>
      <c r="G83" s="4">
        <f t="shared" si="7"/>
        <v>-1.1000000000007049</v>
      </c>
      <c r="H83" s="4">
        <f t="shared" si="11"/>
        <v>1</v>
      </c>
      <c r="I83" s="4">
        <f t="shared" si="12"/>
        <v>4.1000000000007049</v>
      </c>
      <c r="J83" s="4">
        <f t="shared" si="13"/>
        <v>-0.10000000000070486</v>
      </c>
      <c r="K83" s="4">
        <f t="shared" si="14"/>
        <v>1</v>
      </c>
      <c r="L83" s="2">
        <f t="shared" si="9"/>
        <v>1</v>
      </c>
    </row>
    <row r="84" spans="5:12" x14ac:dyDescent="0.35">
      <c r="E84">
        <v>88.200000000000699</v>
      </c>
      <c r="F84" s="4">
        <f t="shared" si="10"/>
        <v>3.2000000000006992</v>
      </c>
      <c r="G84" s="4">
        <f t="shared" ref="G84:G122" si="15">-MAX(E84-$G$1,0)</f>
        <v>-1.2000000000006992</v>
      </c>
      <c r="H84" s="4">
        <f t="shared" si="11"/>
        <v>1</v>
      </c>
      <c r="I84" s="4">
        <f t="shared" si="12"/>
        <v>4.2000000000006992</v>
      </c>
      <c r="J84" s="4">
        <f t="shared" si="13"/>
        <v>-0.20000000000069917</v>
      </c>
      <c r="K84" s="4">
        <f t="shared" si="14"/>
        <v>1</v>
      </c>
      <c r="L84" s="2">
        <f t="shared" si="9"/>
        <v>1</v>
      </c>
    </row>
    <row r="85" spans="5:12" x14ac:dyDescent="0.35">
      <c r="E85">
        <v>88.300000000000693</v>
      </c>
      <c r="F85" s="4">
        <f t="shared" si="10"/>
        <v>3.3000000000006935</v>
      </c>
      <c r="G85" s="4">
        <f t="shared" si="15"/>
        <v>-1.3000000000006935</v>
      </c>
      <c r="H85" s="4">
        <f t="shared" si="11"/>
        <v>1</v>
      </c>
      <c r="I85" s="4">
        <f t="shared" si="12"/>
        <v>4.3000000000006935</v>
      </c>
      <c r="J85" s="4">
        <f t="shared" si="13"/>
        <v>-0.30000000000069349</v>
      </c>
      <c r="K85" s="4">
        <f t="shared" si="14"/>
        <v>1</v>
      </c>
      <c r="L85" s="2">
        <f t="shared" si="9"/>
        <v>1</v>
      </c>
    </row>
    <row r="86" spans="5:12" x14ac:dyDescent="0.35">
      <c r="E86">
        <v>88.400000000000702</v>
      </c>
      <c r="F86" s="4">
        <f t="shared" si="10"/>
        <v>3.400000000000702</v>
      </c>
      <c r="G86" s="4">
        <f t="shared" si="15"/>
        <v>-1.400000000000702</v>
      </c>
      <c r="H86" s="4">
        <f t="shared" si="11"/>
        <v>1</v>
      </c>
      <c r="I86" s="4">
        <f t="shared" si="12"/>
        <v>4.400000000000702</v>
      </c>
      <c r="J86" s="4">
        <f t="shared" si="13"/>
        <v>-0.40000000000070202</v>
      </c>
      <c r="K86" s="4">
        <f t="shared" si="14"/>
        <v>1</v>
      </c>
      <c r="L86" s="2">
        <f t="shared" si="9"/>
        <v>1</v>
      </c>
    </row>
    <row r="87" spans="5:12" x14ac:dyDescent="0.35">
      <c r="E87">
        <v>88.500000000000696</v>
      </c>
      <c r="F87" s="4">
        <f t="shared" si="10"/>
        <v>3.5000000000006963</v>
      </c>
      <c r="G87" s="4">
        <f t="shared" si="15"/>
        <v>-1.5000000000006963</v>
      </c>
      <c r="H87" s="4">
        <f t="shared" si="11"/>
        <v>1</v>
      </c>
      <c r="I87" s="4">
        <f t="shared" si="12"/>
        <v>4.5000000000006963</v>
      </c>
      <c r="J87" s="4">
        <f t="shared" si="13"/>
        <v>-0.50000000000069633</v>
      </c>
      <c r="K87" s="4">
        <f t="shared" si="14"/>
        <v>1</v>
      </c>
      <c r="L87" s="2">
        <f t="shared" si="9"/>
        <v>1</v>
      </c>
    </row>
    <row r="88" spans="5:12" x14ac:dyDescent="0.35">
      <c r="E88">
        <v>88.600000000000705</v>
      </c>
      <c r="F88" s="4">
        <f t="shared" si="10"/>
        <v>3.6000000000007049</v>
      </c>
      <c r="G88" s="4">
        <f t="shared" si="15"/>
        <v>-1.6000000000007049</v>
      </c>
      <c r="H88" s="4">
        <f t="shared" si="11"/>
        <v>1</v>
      </c>
      <c r="I88" s="4">
        <f t="shared" si="12"/>
        <v>4.6000000000007049</v>
      </c>
      <c r="J88" s="4">
        <f t="shared" si="13"/>
        <v>-0.60000000000070486</v>
      </c>
      <c r="K88" s="4">
        <f t="shared" si="14"/>
        <v>1</v>
      </c>
      <c r="L88" s="2">
        <f t="shared" si="9"/>
        <v>1</v>
      </c>
    </row>
    <row r="89" spans="5:12" x14ac:dyDescent="0.35">
      <c r="E89">
        <v>88.700000000000699</v>
      </c>
      <c r="F89" s="4">
        <f t="shared" si="10"/>
        <v>3.7000000000006992</v>
      </c>
      <c r="G89" s="4">
        <f t="shared" si="15"/>
        <v>-1.7000000000006992</v>
      </c>
      <c r="H89" s="4">
        <f t="shared" si="11"/>
        <v>1</v>
      </c>
      <c r="I89" s="4">
        <f t="shared" si="12"/>
        <v>4.7000000000006992</v>
      </c>
      <c r="J89" s="4">
        <f t="shared" si="13"/>
        <v>-0.70000000000069917</v>
      </c>
      <c r="K89" s="4">
        <f t="shared" si="14"/>
        <v>1</v>
      </c>
      <c r="L89" s="2">
        <f t="shared" si="9"/>
        <v>1</v>
      </c>
    </row>
    <row r="90" spans="5:12" x14ac:dyDescent="0.35">
      <c r="E90">
        <v>88.800000000000693</v>
      </c>
      <c r="F90" s="4">
        <f t="shared" si="10"/>
        <v>3.8000000000006935</v>
      </c>
      <c r="G90" s="4">
        <f t="shared" si="15"/>
        <v>-1.8000000000006935</v>
      </c>
      <c r="H90" s="4">
        <f t="shared" si="11"/>
        <v>1</v>
      </c>
      <c r="I90" s="4">
        <f t="shared" si="12"/>
        <v>4.8000000000006935</v>
      </c>
      <c r="J90" s="4">
        <f t="shared" si="13"/>
        <v>-0.80000000000069349</v>
      </c>
      <c r="K90" s="4">
        <f t="shared" si="14"/>
        <v>1</v>
      </c>
      <c r="L90" s="2">
        <f t="shared" si="9"/>
        <v>1</v>
      </c>
    </row>
    <row r="91" spans="5:12" x14ac:dyDescent="0.35">
      <c r="E91">
        <v>88.900000000000702</v>
      </c>
      <c r="F91" s="4">
        <f t="shared" si="10"/>
        <v>3.900000000000702</v>
      </c>
      <c r="G91" s="4">
        <f t="shared" si="15"/>
        <v>-1.900000000000702</v>
      </c>
      <c r="H91" s="4">
        <f t="shared" si="11"/>
        <v>1</v>
      </c>
      <c r="I91" s="4">
        <f t="shared" si="12"/>
        <v>4.900000000000702</v>
      </c>
      <c r="J91" s="4">
        <f t="shared" si="13"/>
        <v>-0.90000000000070202</v>
      </c>
      <c r="K91" s="4">
        <f t="shared" si="14"/>
        <v>1</v>
      </c>
      <c r="L91" s="2">
        <f t="shared" si="9"/>
        <v>1</v>
      </c>
    </row>
    <row r="92" spans="5:12" x14ac:dyDescent="0.35">
      <c r="E92">
        <v>89.000000000000796</v>
      </c>
      <c r="F92" s="4">
        <f t="shared" si="10"/>
        <v>4.0000000000007958</v>
      </c>
      <c r="G92" s="4">
        <f t="shared" si="15"/>
        <v>-2.0000000000007958</v>
      </c>
      <c r="H92" s="4">
        <f t="shared" si="11"/>
        <v>1</v>
      </c>
      <c r="I92" s="4">
        <f t="shared" si="12"/>
        <v>5.0000000000007958</v>
      </c>
      <c r="J92" s="4">
        <f t="shared" si="13"/>
        <v>-1.0000000000007958</v>
      </c>
      <c r="K92" s="4">
        <f t="shared" si="14"/>
        <v>1</v>
      </c>
      <c r="L92" s="2">
        <f t="shared" si="9"/>
        <v>1</v>
      </c>
    </row>
    <row r="93" spans="5:12" x14ac:dyDescent="0.35">
      <c r="E93">
        <v>89.100000000000804</v>
      </c>
      <c r="F93" s="4">
        <f t="shared" si="10"/>
        <v>4.1000000000008043</v>
      </c>
      <c r="G93" s="4">
        <f t="shared" si="15"/>
        <v>-2.1000000000008043</v>
      </c>
      <c r="H93" s="4">
        <f t="shared" si="11"/>
        <v>1</v>
      </c>
      <c r="I93" s="4">
        <f t="shared" si="12"/>
        <v>5.1000000000008043</v>
      </c>
      <c r="J93" s="4">
        <f t="shared" si="13"/>
        <v>-1.1000000000008043</v>
      </c>
      <c r="K93" s="4">
        <f t="shared" si="14"/>
        <v>1</v>
      </c>
      <c r="L93" s="2">
        <f t="shared" si="9"/>
        <v>1</v>
      </c>
    </row>
    <row r="94" spans="5:12" x14ac:dyDescent="0.35">
      <c r="E94">
        <v>89.200000000000799</v>
      </c>
      <c r="F94" s="4">
        <f t="shared" si="10"/>
        <v>4.2000000000007987</v>
      </c>
      <c r="G94" s="4">
        <f t="shared" si="15"/>
        <v>-2.2000000000007987</v>
      </c>
      <c r="H94" s="4">
        <f t="shared" si="11"/>
        <v>1</v>
      </c>
      <c r="I94" s="4">
        <f t="shared" si="12"/>
        <v>5.2000000000007987</v>
      </c>
      <c r="J94" s="4">
        <f t="shared" si="13"/>
        <v>-1.2000000000007987</v>
      </c>
      <c r="K94" s="4">
        <f t="shared" si="14"/>
        <v>1</v>
      </c>
      <c r="L94" s="2">
        <f t="shared" si="9"/>
        <v>1</v>
      </c>
    </row>
    <row r="95" spans="5:12" x14ac:dyDescent="0.35">
      <c r="E95">
        <v>89.300000000000793</v>
      </c>
      <c r="F95" s="4">
        <f t="shared" si="10"/>
        <v>4.300000000000793</v>
      </c>
      <c r="G95" s="4">
        <f t="shared" si="15"/>
        <v>-2.300000000000793</v>
      </c>
      <c r="H95" s="4">
        <f t="shared" si="11"/>
        <v>1</v>
      </c>
      <c r="I95" s="4">
        <f t="shared" si="12"/>
        <v>5.300000000000793</v>
      </c>
      <c r="J95" s="4">
        <f t="shared" si="13"/>
        <v>-1.300000000000793</v>
      </c>
      <c r="K95" s="4">
        <f t="shared" si="14"/>
        <v>1</v>
      </c>
      <c r="L95" s="2">
        <f t="shared" si="9"/>
        <v>1</v>
      </c>
    </row>
    <row r="96" spans="5:12" x14ac:dyDescent="0.35">
      <c r="E96">
        <v>89.400000000000801</v>
      </c>
      <c r="F96" s="4">
        <f t="shared" si="10"/>
        <v>4.4000000000008015</v>
      </c>
      <c r="G96" s="4">
        <f t="shared" si="15"/>
        <v>-2.4000000000008015</v>
      </c>
      <c r="H96" s="4">
        <f t="shared" si="11"/>
        <v>1</v>
      </c>
      <c r="I96" s="4">
        <f t="shared" si="12"/>
        <v>5.4000000000008015</v>
      </c>
      <c r="J96" s="4">
        <f t="shared" si="13"/>
        <v>-1.4000000000008015</v>
      </c>
      <c r="K96" s="4">
        <f t="shared" si="14"/>
        <v>1</v>
      </c>
      <c r="L96" s="2">
        <f t="shared" si="9"/>
        <v>1</v>
      </c>
    </row>
    <row r="97" spans="5:12" x14ac:dyDescent="0.35">
      <c r="E97">
        <v>89.500000000000796</v>
      </c>
      <c r="F97" s="4">
        <f t="shared" si="10"/>
        <v>4.5000000000007958</v>
      </c>
      <c r="G97" s="4">
        <f t="shared" si="15"/>
        <v>-2.5000000000007958</v>
      </c>
      <c r="H97" s="4">
        <f t="shared" si="11"/>
        <v>1</v>
      </c>
      <c r="I97" s="4">
        <f t="shared" si="12"/>
        <v>5.5000000000007958</v>
      </c>
      <c r="J97" s="4">
        <f t="shared" si="13"/>
        <v>-1.5000000000007958</v>
      </c>
      <c r="K97" s="4">
        <f t="shared" si="14"/>
        <v>1</v>
      </c>
      <c r="L97" s="2">
        <f t="shared" si="9"/>
        <v>1</v>
      </c>
    </row>
    <row r="98" spans="5:12" x14ac:dyDescent="0.35">
      <c r="E98">
        <v>89.600000000000804</v>
      </c>
      <c r="F98" s="4">
        <f t="shared" si="10"/>
        <v>4.6000000000008043</v>
      </c>
      <c r="G98" s="4">
        <f t="shared" si="15"/>
        <v>-2.6000000000008043</v>
      </c>
      <c r="H98" s="4">
        <f t="shared" si="11"/>
        <v>1</v>
      </c>
      <c r="I98" s="4">
        <f t="shared" si="12"/>
        <v>5.6000000000008043</v>
      </c>
      <c r="J98" s="4">
        <f t="shared" si="13"/>
        <v>-1.6000000000008043</v>
      </c>
      <c r="K98" s="4">
        <f t="shared" si="14"/>
        <v>1</v>
      </c>
      <c r="L98" s="2">
        <f t="shared" si="9"/>
        <v>1</v>
      </c>
    </row>
    <row r="99" spans="5:12" x14ac:dyDescent="0.35">
      <c r="E99">
        <v>89.700000000000799</v>
      </c>
      <c r="F99" s="4">
        <f t="shared" si="10"/>
        <v>4.7000000000007987</v>
      </c>
      <c r="G99" s="4">
        <f t="shared" si="15"/>
        <v>-2.7000000000007987</v>
      </c>
      <c r="H99" s="4">
        <f t="shared" si="11"/>
        <v>1</v>
      </c>
      <c r="I99" s="4">
        <f t="shared" si="12"/>
        <v>5.7000000000007987</v>
      </c>
      <c r="J99" s="4">
        <f t="shared" si="13"/>
        <v>-1.7000000000007987</v>
      </c>
      <c r="K99" s="4">
        <f t="shared" si="14"/>
        <v>1</v>
      </c>
      <c r="L99" s="2">
        <f t="shared" ref="L99:L122" si="16">IF(E99&gt;$L$1,1,0)</f>
        <v>1</v>
      </c>
    </row>
    <row r="100" spans="5:12" x14ac:dyDescent="0.35">
      <c r="E100">
        <v>89.800000000000793</v>
      </c>
      <c r="F100" s="4">
        <f t="shared" si="10"/>
        <v>4.800000000000793</v>
      </c>
      <c r="G100" s="4">
        <f t="shared" si="15"/>
        <v>-2.800000000000793</v>
      </c>
      <c r="H100" s="4">
        <f t="shared" si="11"/>
        <v>1</v>
      </c>
      <c r="I100" s="4">
        <f t="shared" si="12"/>
        <v>5.800000000000793</v>
      </c>
      <c r="J100" s="4">
        <f t="shared" si="13"/>
        <v>-1.800000000000793</v>
      </c>
      <c r="K100" s="4">
        <f t="shared" si="14"/>
        <v>1</v>
      </c>
      <c r="L100" s="2">
        <f t="shared" si="16"/>
        <v>1</v>
      </c>
    </row>
    <row r="101" spans="5:12" x14ac:dyDescent="0.35">
      <c r="E101">
        <v>89.900000000000801</v>
      </c>
      <c r="F101" s="4">
        <f t="shared" si="10"/>
        <v>4.9000000000008015</v>
      </c>
      <c r="G101" s="4">
        <f t="shared" si="15"/>
        <v>-2.9000000000008015</v>
      </c>
      <c r="H101" s="4">
        <f t="shared" si="11"/>
        <v>1</v>
      </c>
      <c r="I101" s="4">
        <f t="shared" si="12"/>
        <v>5.9000000000008015</v>
      </c>
      <c r="J101" s="4">
        <f t="shared" si="13"/>
        <v>-1.9000000000008015</v>
      </c>
      <c r="K101" s="4">
        <f t="shared" si="14"/>
        <v>1</v>
      </c>
      <c r="L101" s="2">
        <f t="shared" si="16"/>
        <v>1</v>
      </c>
    </row>
    <row r="102" spans="5:12" x14ac:dyDescent="0.35">
      <c r="E102">
        <v>90.000000000000796</v>
      </c>
      <c r="F102" s="4">
        <f t="shared" si="10"/>
        <v>5.0000000000007958</v>
      </c>
      <c r="G102" s="4">
        <f t="shared" si="15"/>
        <v>-3.0000000000007958</v>
      </c>
      <c r="H102" s="4">
        <f t="shared" si="11"/>
        <v>1</v>
      </c>
      <c r="I102" s="4">
        <f t="shared" si="12"/>
        <v>6.0000000000007958</v>
      </c>
      <c r="J102" s="4">
        <f t="shared" si="13"/>
        <v>-2.0000000000007958</v>
      </c>
      <c r="K102" s="4">
        <f t="shared" si="14"/>
        <v>1</v>
      </c>
      <c r="L102" s="2">
        <f t="shared" si="16"/>
        <v>1</v>
      </c>
    </row>
    <row r="103" spans="5:12" x14ac:dyDescent="0.35">
      <c r="E103">
        <v>90.100000000000904</v>
      </c>
      <c r="F103" s="4">
        <f t="shared" si="10"/>
        <v>5.1000000000009038</v>
      </c>
      <c r="G103" s="4">
        <f t="shared" si="15"/>
        <v>-3.1000000000009038</v>
      </c>
      <c r="H103" s="4">
        <f t="shared" si="11"/>
        <v>1</v>
      </c>
      <c r="I103" s="4">
        <f t="shared" si="12"/>
        <v>6.1000000000009038</v>
      </c>
      <c r="J103" s="4">
        <f t="shared" si="13"/>
        <v>-2.1000000000009038</v>
      </c>
      <c r="K103" s="4">
        <f t="shared" si="14"/>
        <v>1</v>
      </c>
      <c r="L103" s="2">
        <f t="shared" si="16"/>
        <v>1</v>
      </c>
    </row>
    <row r="104" spans="5:12" x14ac:dyDescent="0.35">
      <c r="E104">
        <v>90.200000000000898</v>
      </c>
      <c r="F104" s="4">
        <f t="shared" si="10"/>
        <v>5.2000000000008981</v>
      </c>
      <c r="G104" s="4">
        <f t="shared" si="15"/>
        <v>-3.2000000000008981</v>
      </c>
      <c r="H104" s="4">
        <f t="shared" si="11"/>
        <v>1</v>
      </c>
      <c r="I104" s="4">
        <f t="shared" si="12"/>
        <v>6.2000000000008981</v>
      </c>
      <c r="J104" s="4">
        <f t="shared" si="13"/>
        <v>-2.2000000000008981</v>
      </c>
      <c r="K104" s="4">
        <f t="shared" si="14"/>
        <v>1</v>
      </c>
      <c r="L104" s="2">
        <f t="shared" si="16"/>
        <v>1</v>
      </c>
    </row>
    <row r="105" spans="5:12" x14ac:dyDescent="0.35">
      <c r="E105">
        <v>90.300000000000907</v>
      </c>
      <c r="F105" s="4">
        <f t="shared" si="10"/>
        <v>5.3000000000009067</v>
      </c>
      <c r="G105" s="4">
        <f t="shared" si="15"/>
        <v>-3.3000000000009067</v>
      </c>
      <c r="H105" s="4">
        <f t="shared" si="11"/>
        <v>1</v>
      </c>
      <c r="I105" s="4">
        <f t="shared" si="12"/>
        <v>6.3000000000009067</v>
      </c>
      <c r="J105" s="4">
        <f t="shared" si="13"/>
        <v>-2.3000000000009067</v>
      </c>
      <c r="K105" s="4">
        <f t="shared" si="14"/>
        <v>1</v>
      </c>
      <c r="L105" s="2">
        <f t="shared" si="16"/>
        <v>1</v>
      </c>
    </row>
    <row r="106" spans="5:12" x14ac:dyDescent="0.35">
      <c r="E106">
        <v>90.400000000000901</v>
      </c>
      <c r="F106" s="4">
        <f t="shared" si="10"/>
        <v>5.400000000000901</v>
      </c>
      <c r="G106" s="4">
        <f t="shared" si="15"/>
        <v>-3.400000000000901</v>
      </c>
      <c r="H106" s="4">
        <f t="shared" si="11"/>
        <v>1</v>
      </c>
      <c r="I106" s="4">
        <f t="shared" si="12"/>
        <v>6.400000000000901</v>
      </c>
      <c r="J106" s="4">
        <f t="shared" si="13"/>
        <v>-2.400000000000901</v>
      </c>
      <c r="K106" s="4">
        <f t="shared" si="14"/>
        <v>1</v>
      </c>
      <c r="L106" s="2">
        <f t="shared" si="16"/>
        <v>1</v>
      </c>
    </row>
    <row r="107" spans="5:12" x14ac:dyDescent="0.35">
      <c r="E107">
        <v>90.500000000000895</v>
      </c>
      <c r="F107" s="4">
        <f t="shared" si="10"/>
        <v>5.5000000000008953</v>
      </c>
      <c r="G107" s="4">
        <f t="shared" si="15"/>
        <v>-3.5000000000008953</v>
      </c>
      <c r="H107" s="4">
        <f t="shared" si="11"/>
        <v>1</v>
      </c>
      <c r="I107" s="4">
        <f t="shared" si="12"/>
        <v>6.5000000000008953</v>
      </c>
      <c r="J107" s="4">
        <f t="shared" si="13"/>
        <v>-2.5000000000008953</v>
      </c>
      <c r="K107" s="4">
        <f t="shared" si="14"/>
        <v>1</v>
      </c>
      <c r="L107" s="2">
        <f t="shared" si="16"/>
        <v>1</v>
      </c>
    </row>
    <row r="108" spans="5:12" x14ac:dyDescent="0.35">
      <c r="E108">
        <v>90.600000000000904</v>
      </c>
      <c r="F108" s="4">
        <f t="shared" si="10"/>
        <v>5.6000000000009038</v>
      </c>
      <c r="G108" s="4">
        <f t="shared" si="15"/>
        <v>-3.6000000000009038</v>
      </c>
      <c r="H108" s="4">
        <f t="shared" si="11"/>
        <v>1</v>
      </c>
      <c r="I108" s="4">
        <f t="shared" si="12"/>
        <v>6.6000000000009038</v>
      </c>
      <c r="J108" s="4">
        <f t="shared" si="13"/>
        <v>-2.6000000000009038</v>
      </c>
      <c r="K108" s="4">
        <f t="shared" si="14"/>
        <v>1</v>
      </c>
      <c r="L108" s="2">
        <f t="shared" si="16"/>
        <v>1</v>
      </c>
    </row>
    <row r="109" spans="5:12" x14ac:dyDescent="0.35">
      <c r="E109">
        <v>90.700000000000898</v>
      </c>
      <c r="F109" s="4">
        <f t="shared" si="10"/>
        <v>5.7000000000008981</v>
      </c>
      <c r="G109" s="4">
        <f t="shared" si="15"/>
        <v>-3.7000000000008981</v>
      </c>
      <c r="H109" s="4">
        <f t="shared" si="11"/>
        <v>1</v>
      </c>
      <c r="I109" s="4">
        <f t="shared" si="12"/>
        <v>6.7000000000008981</v>
      </c>
      <c r="J109" s="4">
        <f t="shared" si="13"/>
        <v>-2.7000000000008981</v>
      </c>
      <c r="K109" s="4">
        <f t="shared" si="14"/>
        <v>1</v>
      </c>
      <c r="L109" s="2">
        <f t="shared" si="16"/>
        <v>1</v>
      </c>
    </row>
    <row r="110" spans="5:12" x14ac:dyDescent="0.35">
      <c r="E110">
        <v>90.800000000000907</v>
      </c>
      <c r="F110" s="4">
        <f t="shared" si="10"/>
        <v>5.8000000000009067</v>
      </c>
      <c r="G110" s="4">
        <f t="shared" si="15"/>
        <v>-3.8000000000009067</v>
      </c>
      <c r="H110" s="4">
        <f t="shared" si="11"/>
        <v>1</v>
      </c>
      <c r="I110" s="4">
        <f t="shared" si="12"/>
        <v>6.8000000000009067</v>
      </c>
      <c r="J110" s="4">
        <f t="shared" si="13"/>
        <v>-2.8000000000009067</v>
      </c>
      <c r="K110" s="4">
        <f t="shared" si="14"/>
        <v>1</v>
      </c>
      <c r="L110" s="2">
        <f t="shared" si="16"/>
        <v>1</v>
      </c>
    </row>
    <row r="111" spans="5:12" x14ac:dyDescent="0.35">
      <c r="E111">
        <v>90.900000000000901</v>
      </c>
      <c r="F111" s="4">
        <f t="shared" si="10"/>
        <v>5.900000000000901</v>
      </c>
      <c r="G111" s="4">
        <f t="shared" si="15"/>
        <v>-3.900000000000901</v>
      </c>
      <c r="H111" s="4">
        <f t="shared" si="11"/>
        <v>1</v>
      </c>
      <c r="I111" s="4">
        <f t="shared" si="12"/>
        <v>6.900000000000901</v>
      </c>
      <c r="J111" s="4">
        <f t="shared" si="13"/>
        <v>-2.900000000000901</v>
      </c>
      <c r="K111" s="4">
        <f t="shared" si="14"/>
        <v>1</v>
      </c>
      <c r="L111" s="2">
        <f t="shared" si="16"/>
        <v>1</v>
      </c>
    </row>
    <row r="112" spans="5:12" x14ac:dyDescent="0.35">
      <c r="E112">
        <v>91.000000000000895</v>
      </c>
      <c r="F112" s="4">
        <f t="shared" si="10"/>
        <v>6.0000000000008953</v>
      </c>
      <c r="G112" s="4">
        <f t="shared" si="15"/>
        <v>-4.0000000000008953</v>
      </c>
      <c r="H112" s="4">
        <f t="shared" si="11"/>
        <v>1</v>
      </c>
      <c r="I112" s="4">
        <f t="shared" si="12"/>
        <v>7.0000000000008953</v>
      </c>
      <c r="J112" s="4">
        <f t="shared" si="13"/>
        <v>-3.0000000000008953</v>
      </c>
      <c r="K112" s="4">
        <f t="shared" si="14"/>
        <v>1</v>
      </c>
      <c r="L112" s="2">
        <f t="shared" si="16"/>
        <v>1</v>
      </c>
    </row>
    <row r="113" spans="5:12" x14ac:dyDescent="0.35">
      <c r="E113">
        <v>91.100000000000904</v>
      </c>
      <c r="F113" s="4">
        <f t="shared" si="10"/>
        <v>6.1000000000009038</v>
      </c>
      <c r="G113" s="4">
        <f t="shared" si="15"/>
        <v>-4.1000000000009038</v>
      </c>
      <c r="H113" s="4">
        <f t="shared" si="11"/>
        <v>1</v>
      </c>
      <c r="I113" s="4">
        <f t="shared" si="12"/>
        <v>7.1000000000009038</v>
      </c>
      <c r="J113" s="4">
        <f t="shared" si="13"/>
        <v>-3.1000000000009038</v>
      </c>
      <c r="K113" s="4">
        <f t="shared" si="14"/>
        <v>1</v>
      </c>
      <c r="L113" s="2">
        <f t="shared" si="16"/>
        <v>1</v>
      </c>
    </row>
    <row r="114" spans="5:12" x14ac:dyDescent="0.35">
      <c r="E114">
        <v>91.200000000000898</v>
      </c>
      <c r="F114" s="4">
        <f t="shared" si="10"/>
        <v>6.2000000000008981</v>
      </c>
      <c r="G114" s="4">
        <f t="shared" si="15"/>
        <v>-4.2000000000008981</v>
      </c>
      <c r="H114" s="4">
        <f t="shared" si="11"/>
        <v>1</v>
      </c>
      <c r="I114" s="4">
        <f t="shared" si="12"/>
        <v>7.2000000000008981</v>
      </c>
      <c r="J114" s="4">
        <f t="shared" si="13"/>
        <v>-3.2000000000008981</v>
      </c>
      <c r="K114" s="4">
        <f t="shared" si="14"/>
        <v>1</v>
      </c>
      <c r="L114" s="2">
        <f t="shared" si="16"/>
        <v>1</v>
      </c>
    </row>
    <row r="115" spans="5:12" x14ac:dyDescent="0.35">
      <c r="E115">
        <v>91.300000000001006</v>
      </c>
      <c r="F115" s="4">
        <f t="shared" si="10"/>
        <v>6.3000000000010061</v>
      </c>
      <c r="G115" s="4">
        <f t="shared" si="15"/>
        <v>-4.3000000000010061</v>
      </c>
      <c r="H115" s="4">
        <f t="shared" si="11"/>
        <v>1</v>
      </c>
      <c r="I115" s="4">
        <f t="shared" si="12"/>
        <v>7.3000000000010061</v>
      </c>
      <c r="J115" s="4">
        <f t="shared" si="13"/>
        <v>-3.3000000000010061</v>
      </c>
      <c r="K115" s="4">
        <f t="shared" si="14"/>
        <v>1</v>
      </c>
      <c r="L115" s="2">
        <f t="shared" si="16"/>
        <v>1</v>
      </c>
    </row>
    <row r="116" spans="5:12" x14ac:dyDescent="0.35">
      <c r="E116">
        <v>91.400000000001</v>
      </c>
      <c r="F116" s="4">
        <f t="shared" si="10"/>
        <v>6.4000000000010004</v>
      </c>
      <c r="G116" s="4">
        <f t="shared" si="15"/>
        <v>-4.4000000000010004</v>
      </c>
      <c r="H116" s="4">
        <f t="shared" si="11"/>
        <v>1</v>
      </c>
      <c r="I116" s="4">
        <f t="shared" si="12"/>
        <v>7.4000000000010004</v>
      </c>
      <c r="J116" s="4">
        <f t="shared" si="13"/>
        <v>-3.4000000000010004</v>
      </c>
      <c r="K116" s="4">
        <f t="shared" si="14"/>
        <v>1</v>
      </c>
      <c r="L116" s="2">
        <f t="shared" si="16"/>
        <v>1</v>
      </c>
    </row>
    <row r="117" spans="5:12" x14ac:dyDescent="0.35">
      <c r="E117">
        <v>91.500000000000995</v>
      </c>
      <c r="F117" s="4">
        <f t="shared" si="10"/>
        <v>6.5000000000009948</v>
      </c>
      <c r="G117" s="4">
        <f t="shared" si="15"/>
        <v>-4.5000000000009948</v>
      </c>
      <c r="H117" s="4">
        <f t="shared" si="11"/>
        <v>1</v>
      </c>
      <c r="I117" s="4">
        <f t="shared" si="12"/>
        <v>7.5000000000009948</v>
      </c>
      <c r="J117" s="4">
        <f t="shared" si="13"/>
        <v>-3.5000000000009948</v>
      </c>
      <c r="K117" s="4">
        <f t="shared" si="14"/>
        <v>1</v>
      </c>
      <c r="L117" s="2">
        <f t="shared" si="16"/>
        <v>1</v>
      </c>
    </row>
    <row r="118" spans="5:12" x14ac:dyDescent="0.35">
      <c r="E118">
        <v>91.600000000001003</v>
      </c>
      <c r="F118" s="4">
        <f t="shared" si="10"/>
        <v>6.6000000000010033</v>
      </c>
      <c r="G118" s="4">
        <f t="shared" si="15"/>
        <v>-4.6000000000010033</v>
      </c>
      <c r="H118" s="4">
        <f t="shared" si="11"/>
        <v>1</v>
      </c>
      <c r="I118" s="4">
        <f t="shared" si="12"/>
        <v>7.6000000000010033</v>
      </c>
      <c r="J118" s="4">
        <f t="shared" si="13"/>
        <v>-3.6000000000010033</v>
      </c>
      <c r="K118" s="4">
        <f t="shared" si="14"/>
        <v>1</v>
      </c>
      <c r="L118" s="2">
        <f t="shared" si="16"/>
        <v>1</v>
      </c>
    </row>
    <row r="119" spans="5:12" x14ac:dyDescent="0.35">
      <c r="E119">
        <v>91.700000000000998</v>
      </c>
      <c r="F119" s="4">
        <f t="shared" si="10"/>
        <v>6.7000000000009976</v>
      </c>
      <c r="G119" s="4">
        <f t="shared" si="15"/>
        <v>-4.7000000000009976</v>
      </c>
      <c r="H119" s="4">
        <f t="shared" si="11"/>
        <v>1</v>
      </c>
      <c r="I119" s="4">
        <f t="shared" si="12"/>
        <v>7.7000000000009976</v>
      </c>
      <c r="J119" s="4">
        <f t="shared" si="13"/>
        <v>-3.7000000000009976</v>
      </c>
      <c r="K119" s="4">
        <f t="shared" si="14"/>
        <v>1</v>
      </c>
      <c r="L119" s="2">
        <f t="shared" si="16"/>
        <v>1</v>
      </c>
    </row>
    <row r="120" spans="5:12" x14ac:dyDescent="0.35">
      <c r="E120">
        <v>91.800000000001006</v>
      </c>
      <c r="F120" s="4">
        <f t="shared" si="10"/>
        <v>6.8000000000010061</v>
      </c>
      <c r="G120" s="4">
        <f t="shared" si="15"/>
        <v>-4.8000000000010061</v>
      </c>
      <c r="H120" s="4">
        <f t="shared" si="11"/>
        <v>1</v>
      </c>
      <c r="I120" s="4">
        <f t="shared" si="12"/>
        <v>7.8000000000010061</v>
      </c>
      <c r="J120" s="4">
        <f t="shared" si="13"/>
        <v>-3.8000000000010061</v>
      </c>
      <c r="K120" s="4">
        <f t="shared" si="14"/>
        <v>1</v>
      </c>
      <c r="L120" s="2">
        <f t="shared" si="16"/>
        <v>1</v>
      </c>
    </row>
    <row r="121" spans="5:12" x14ac:dyDescent="0.35">
      <c r="E121">
        <v>91.900000000001</v>
      </c>
      <c r="F121" s="4">
        <f t="shared" si="10"/>
        <v>6.9000000000010004</v>
      </c>
      <c r="G121" s="4">
        <f t="shared" si="15"/>
        <v>-4.9000000000010004</v>
      </c>
      <c r="H121" s="4">
        <f t="shared" si="11"/>
        <v>1</v>
      </c>
      <c r="I121" s="4">
        <f t="shared" si="12"/>
        <v>7.9000000000010004</v>
      </c>
      <c r="J121" s="4">
        <f t="shared" si="13"/>
        <v>-3.9000000000010004</v>
      </c>
      <c r="K121" s="4">
        <f t="shared" si="14"/>
        <v>1</v>
      </c>
      <c r="L121" s="2">
        <f t="shared" si="16"/>
        <v>1</v>
      </c>
    </row>
    <row r="122" spans="5:12" x14ac:dyDescent="0.35">
      <c r="E122">
        <v>92.000000000000995</v>
      </c>
      <c r="F122" s="4">
        <f t="shared" si="10"/>
        <v>7.0000000000009948</v>
      </c>
      <c r="G122" s="4">
        <f t="shared" si="15"/>
        <v>-5.0000000000009948</v>
      </c>
      <c r="H122" s="4">
        <f t="shared" si="11"/>
        <v>1</v>
      </c>
      <c r="I122" s="4">
        <f t="shared" si="12"/>
        <v>8.0000000000009948</v>
      </c>
      <c r="J122" s="4">
        <f t="shared" si="13"/>
        <v>-4.0000000000009948</v>
      </c>
      <c r="K122" s="4">
        <f t="shared" si="14"/>
        <v>1</v>
      </c>
      <c r="L122" s="2">
        <f t="shared" si="16"/>
        <v>1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1:M40"/>
  <sheetViews>
    <sheetView topLeftCell="I19" zoomScale="85" zoomScaleNormal="85" workbookViewId="0">
      <selection activeCell="U23" sqref="U23"/>
    </sheetView>
  </sheetViews>
  <sheetFormatPr defaultRowHeight="14.5" x14ac:dyDescent="0.35"/>
  <cols>
    <col min="6" max="6" width="9.81640625" bestFit="1" customWidth="1"/>
    <col min="7" max="7" width="11.81640625" bestFit="1" customWidth="1"/>
    <col min="8" max="8" width="14.36328125" customWidth="1"/>
    <col min="9" max="9" width="14.26953125" bestFit="1" customWidth="1"/>
    <col min="10" max="10" width="11.1796875" customWidth="1"/>
    <col min="11" max="11" width="15.26953125" customWidth="1"/>
    <col min="12" max="12" width="13.6328125" bestFit="1" customWidth="1"/>
  </cols>
  <sheetData>
    <row r="1" spans="2:13" x14ac:dyDescent="0.35">
      <c r="E1" t="s">
        <v>8</v>
      </c>
      <c r="F1">
        <v>90</v>
      </c>
      <c r="G1">
        <v>100</v>
      </c>
      <c r="H1">
        <v>110</v>
      </c>
    </row>
    <row r="2" spans="2:13" x14ac:dyDescent="0.35">
      <c r="F2" t="s">
        <v>13</v>
      </c>
      <c r="G2" t="s">
        <v>27</v>
      </c>
      <c r="H2" t="s">
        <v>13</v>
      </c>
      <c r="I2" t="s">
        <v>28</v>
      </c>
    </row>
    <row r="3" spans="2:13" x14ac:dyDescent="0.35">
      <c r="B3" t="s">
        <v>10</v>
      </c>
      <c r="C3">
        <v>90</v>
      </c>
      <c r="E3">
        <v>70</v>
      </c>
      <c r="F3" s="3">
        <f>MAX(E3-$F$1,0)</f>
        <v>0</v>
      </c>
      <c r="G3" s="3">
        <f>-2*MAX(E3-$G$1,0)</f>
        <v>0</v>
      </c>
      <c r="H3" s="3">
        <f>MAX(E3-$H$1,0)</f>
        <v>0</v>
      </c>
      <c r="I3" s="2">
        <f>F3+G3+H3</f>
        <v>0</v>
      </c>
      <c r="J3" s="3"/>
      <c r="K3" s="3"/>
      <c r="L3" s="3"/>
      <c r="M3" s="3"/>
    </row>
    <row r="4" spans="2:13" x14ac:dyDescent="0.35">
      <c r="B4" t="s">
        <v>1</v>
      </c>
      <c r="C4">
        <v>0</v>
      </c>
      <c r="E4">
        <v>75</v>
      </c>
      <c r="F4" s="3">
        <f t="shared" ref="F4:F19" si="0">MAX(E4-$F$1,0)</f>
        <v>0</v>
      </c>
      <c r="G4" s="3">
        <f t="shared" ref="G4:G19" si="1">-2*MAX(E4-$G$1,0)</f>
        <v>0</v>
      </c>
      <c r="H4" s="3">
        <f t="shared" ref="H4:H19" si="2">MAX(E4-$H$1,0)</f>
        <v>0</v>
      </c>
      <c r="I4" s="2">
        <f t="shared" ref="I4:I19" si="3">F4+G4+H4</f>
        <v>0</v>
      </c>
      <c r="J4" s="3"/>
      <c r="K4" s="3"/>
      <c r="L4" s="3"/>
      <c r="M4" s="3"/>
    </row>
    <row r="5" spans="2:13" x14ac:dyDescent="0.35">
      <c r="B5" t="s">
        <v>2</v>
      </c>
      <c r="C5">
        <v>0</v>
      </c>
      <c r="E5">
        <v>80</v>
      </c>
      <c r="F5" s="3">
        <f t="shared" si="0"/>
        <v>0</v>
      </c>
      <c r="G5" s="3">
        <f t="shared" si="1"/>
        <v>0</v>
      </c>
      <c r="H5" s="3">
        <f t="shared" si="2"/>
        <v>0</v>
      </c>
      <c r="I5" s="2">
        <f t="shared" si="3"/>
        <v>0</v>
      </c>
      <c r="J5" s="3"/>
      <c r="K5" s="3"/>
      <c r="L5" s="3"/>
      <c r="M5" s="3"/>
    </row>
    <row r="6" spans="2:13" x14ac:dyDescent="0.35">
      <c r="B6" t="s">
        <v>3</v>
      </c>
      <c r="C6">
        <v>0.2</v>
      </c>
      <c r="E6">
        <v>85</v>
      </c>
      <c r="F6" s="3">
        <f t="shared" si="0"/>
        <v>0</v>
      </c>
      <c r="G6" s="3">
        <f t="shared" si="1"/>
        <v>0</v>
      </c>
      <c r="H6" s="3">
        <f t="shared" si="2"/>
        <v>0</v>
      </c>
      <c r="I6" s="2">
        <f t="shared" si="3"/>
        <v>0</v>
      </c>
      <c r="J6" s="3"/>
      <c r="K6" s="3"/>
      <c r="L6" s="3"/>
      <c r="M6" s="3"/>
    </row>
    <row r="7" spans="2:13" x14ac:dyDescent="0.35">
      <c r="B7" t="s">
        <v>11</v>
      </c>
      <c r="C7">
        <v>2</v>
      </c>
      <c r="E7">
        <v>90</v>
      </c>
      <c r="F7" s="3">
        <f t="shared" si="0"/>
        <v>0</v>
      </c>
      <c r="G7" s="3">
        <f t="shared" si="1"/>
        <v>0</v>
      </c>
      <c r="H7" s="3">
        <f t="shared" si="2"/>
        <v>0</v>
      </c>
      <c r="I7" s="2">
        <f t="shared" si="3"/>
        <v>0</v>
      </c>
      <c r="J7" s="3"/>
      <c r="K7" s="3"/>
      <c r="L7" s="3"/>
      <c r="M7" s="3"/>
    </row>
    <row r="8" spans="2:13" x14ac:dyDescent="0.35">
      <c r="E8">
        <v>95</v>
      </c>
      <c r="F8" s="3">
        <f t="shared" si="0"/>
        <v>5</v>
      </c>
      <c r="G8" s="3">
        <f t="shared" si="1"/>
        <v>0</v>
      </c>
      <c r="H8" s="3">
        <f t="shared" si="2"/>
        <v>0</v>
      </c>
      <c r="I8" s="2">
        <f t="shared" si="3"/>
        <v>5</v>
      </c>
      <c r="J8" s="3"/>
      <c r="K8" s="3"/>
      <c r="L8" s="3"/>
      <c r="M8" s="3"/>
    </row>
    <row r="9" spans="2:13" x14ac:dyDescent="0.35">
      <c r="B9" t="s">
        <v>12</v>
      </c>
      <c r="C9" s="1">
        <f>BlackPutPrice(C3,C4,C5,C6,C7,F1)</f>
        <v>10.121662441645647</v>
      </c>
      <c r="E9">
        <v>100</v>
      </c>
      <c r="F9" s="3">
        <f t="shared" si="0"/>
        <v>10</v>
      </c>
      <c r="G9" s="3">
        <f t="shared" si="1"/>
        <v>0</v>
      </c>
      <c r="H9" s="3">
        <f t="shared" si="2"/>
        <v>0</v>
      </c>
      <c r="I9" s="2">
        <f t="shared" si="3"/>
        <v>10</v>
      </c>
      <c r="J9" s="3"/>
      <c r="K9" s="3"/>
      <c r="L9" s="3"/>
      <c r="M9" s="3"/>
    </row>
    <row r="10" spans="2:13" x14ac:dyDescent="0.35">
      <c r="E10">
        <v>105</v>
      </c>
      <c r="F10" s="3">
        <f t="shared" si="0"/>
        <v>15</v>
      </c>
      <c r="G10" s="3">
        <f t="shared" si="1"/>
        <v>-10</v>
      </c>
      <c r="H10" s="3">
        <f t="shared" si="2"/>
        <v>0</v>
      </c>
      <c r="I10" s="2">
        <f t="shared" si="3"/>
        <v>5</v>
      </c>
      <c r="J10" s="3"/>
      <c r="K10" s="3"/>
      <c r="L10" s="3"/>
      <c r="M10" s="3"/>
    </row>
    <row r="11" spans="2:13" x14ac:dyDescent="0.35">
      <c r="E11">
        <v>110</v>
      </c>
      <c r="F11" s="3">
        <f t="shared" si="0"/>
        <v>20</v>
      </c>
      <c r="G11" s="3">
        <f t="shared" si="1"/>
        <v>-20</v>
      </c>
      <c r="H11" s="3">
        <f t="shared" si="2"/>
        <v>0</v>
      </c>
      <c r="I11" s="2">
        <f t="shared" si="3"/>
        <v>0</v>
      </c>
      <c r="J11" s="3"/>
      <c r="K11" s="3"/>
      <c r="L11" s="3"/>
      <c r="M11" s="3"/>
    </row>
    <row r="12" spans="2:13" x14ac:dyDescent="0.35">
      <c r="E12">
        <v>115</v>
      </c>
      <c r="F12" s="3">
        <f t="shared" si="0"/>
        <v>25</v>
      </c>
      <c r="G12" s="3">
        <f t="shared" si="1"/>
        <v>-30</v>
      </c>
      <c r="H12" s="3">
        <f t="shared" si="2"/>
        <v>5</v>
      </c>
      <c r="I12" s="2">
        <f t="shared" si="3"/>
        <v>0</v>
      </c>
      <c r="J12" s="3"/>
      <c r="K12" s="3"/>
      <c r="L12" s="3"/>
      <c r="M12" s="3"/>
    </row>
    <row r="13" spans="2:13" x14ac:dyDescent="0.35">
      <c r="E13">
        <v>120</v>
      </c>
      <c r="F13" s="3">
        <f t="shared" si="0"/>
        <v>30</v>
      </c>
      <c r="G13" s="3">
        <f t="shared" si="1"/>
        <v>-40</v>
      </c>
      <c r="H13" s="3">
        <f t="shared" si="2"/>
        <v>10</v>
      </c>
      <c r="I13" s="2">
        <f t="shared" si="3"/>
        <v>0</v>
      </c>
      <c r="J13" s="3"/>
      <c r="K13" s="3"/>
      <c r="L13" s="3"/>
      <c r="M13" s="3"/>
    </row>
    <row r="14" spans="2:13" x14ac:dyDescent="0.35">
      <c r="E14">
        <v>125</v>
      </c>
      <c r="F14" s="3">
        <f t="shared" si="0"/>
        <v>35</v>
      </c>
      <c r="G14" s="3">
        <f t="shared" si="1"/>
        <v>-50</v>
      </c>
      <c r="H14" s="3">
        <f t="shared" si="2"/>
        <v>15</v>
      </c>
      <c r="I14" s="2">
        <f t="shared" si="3"/>
        <v>0</v>
      </c>
      <c r="J14" s="3"/>
      <c r="K14" s="3"/>
      <c r="L14" s="3"/>
      <c r="M14" s="3"/>
    </row>
    <row r="15" spans="2:13" x14ac:dyDescent="0.35">
      <c r="E15">
        <v>130</v>
      </c>
      <c r="F15" s="3">
        <f t="shared" si="0"/>
        <v>40</v>
      </c>
      <c r="G15" s="3">
        <f t="shared" si="1"/>
        <v>-60</v>
      </c>
      <c r="H15" s="3">
        <f t="shared" si="2"/>
        <v>20</v>
      </c>
      <c r="I15" s="2">
        <f t="shared" si="3"/>
        <v>0</v>
      </c>
      <c r="J15" s="3"/>
      <c r="K15" s="3"/>
      <c r="L15" s="3"/>
      <c r="M15" s="3"/>
    </row>
    <row r="16" spans="2:13" x14ac:dyDescent="0.35">
      <c r="E16">
        <v>135</v>
      </c>
      <c r="F16" s="3">
        <f t="shared" si="0"/>
        <v>45</v>
      </c>
      <c r="G16" s="3">
        <f t="shared" si="1"/>
        <v>-70</v>
      </c>
      <c r="H16" s="3">
        <f t="shared" si="2"/>
        <v>25</v>
      </c>
      <c r="I16" s="2">
        <f t="shared" si="3"/>
        <v>0</v>
      </c>
      <c r="J16" s="3"/>
      <c r="K16" s="3"/>
      <c r="L16" s="3"/>
      <c r="M16" s="3"/>
    </row>
    <row r="17" spans="5:13" x14ac:dyDescent="0.35">
      <c r="E17">
        <v>140</v>
      </c>
      <c r="F17" s="3">
        <f t="shared" si="0"/>
        <v>50</v>
      </c>
      <c r="G17" s="3">
        <f t="shared" si="1"/>
        <v>-80</v>
      </c>
      <c r="H17" s="3">
        <f t="shared" si="2"/>
        <v>30</v>
      </c>
      <c r="I17" s="2">
        <f t="shared" si="3"/>
        <v>0</v>
      </c>
      <c r="J17" s="3"/>
      <c r="K17" s="3"/>
      <c r="L17" s="3"/>
      <c r="M17" s="3"/>
    </row>
    <row r="18" spans="5:13" x14ac:dyDescent="0.35">
      <c r="E18">
        <v>145</v>
      </c>
      <c r="F18" s="3">
        <f t="shared" si="0"/>
        <v>55</v>
      </c>
      <c r="G18" s="3">
        <f t="shared" si="1"/>
        <v>-90</v>
      </c>
      <c r="H18" s="3">
        <f t="shared" si="2"/>
        <v>35</v>
      </c>
      <c r="I18" s="2">
        <f t="shared" si="3"/>
        <v>0</v>
      </c>
      <c r="J18" s="3"/>
      <c r="K18" s="3"/>
      <c r="L18" s="3"/>
      <c r="M18" s="3"/>
    </row>
    <row r="19" spans="5:13" x14ac:dyDescent="0.35">
      <c r="E19">
        <v>150</v>
      </c>
      <c r="F19" s="3">
        <f t="shared" si="0"/>
        <v>60</v>
      </c>
      <c r="G19" s="3">
        <f t="shared" si="1"/>
        <v>-100</v>
      </c>
      <c r="H19" s="3">
        <f t="shared" si="2"/>
        <v>40</v>
      </c>
      <c r="I19" s="2">
        <f t="shared" si="3"/>
        <v>0</v>
      </c>
      <c r="J19" s="3"/>
      <c r="K19" s="3"/>
      <c r="L19" s="3"/>
      <c r="M19" s="3"/>
    </row>
    <row r="22" spans="5:13" x14ac:dyDescent="0.35">
      <c r="E22" t="s">
        <v>8</v>
      </c>
      <c r="F22">
        <v>90</v>
      </c>
      <c r="G22">
        <v>100</v>
      </c>
      <c r="H22">
        <v>110</v>
      </c>
    </row>
    <row r="23" spans="5:13" x14ac:dyDescent="0.35">
      <c r="F23" t="s">
        <v>7</v>
      </c>
      <c r="G23" t="s">
        <v>29</v>
      </c>
      <c r="H23" t="s">
        <v>7</v>
      </c>
      <c r="I23" t="s">
        <v>28</v>
      </c>
    </row>
    <row r="24" spans="5:13" x14ac:dyDescent="0.35">
      <c r="E24">
        <v>70</v>
      </c>
      <c r="F24" s="3">
        <f>MAX(F$22-E24,0)</f>
        <v>20</v>
      </c>
      <c r="G24" s="3">
        <f>-2*MAX(G$22-E24,0)</f>
        <v>-60</v>
      </c>
      <c r="H24" s="3">
        <f>MAX(H$22-E24,0)</f>
        <v>40</v>
      </c>
      <c r="I24" s="2">
        <f>F24+G24+H24</f>
        <v>0</v>
      </c>
    </row>
    <row r="25" spans="5:13" x14ac:dyDescent="0.35">
      <c r="E25">
        <v>75</v>
      </c>
      <c r="F25" s="3">
        <f t="shared" ref="F25:F40" si="4">MAX(F$22-E25,0)</f>
        <v>15</v>
      </c>
      <c r="G25" s="3">
        <f t="shared" ref="G25:G40" si="5">-2*MAX(G$22-E25,0)</f>
        <v>-50</v>
      </c>
      <c r="H25" s="3">
        <f t="shared" ref="H25:H40" si="6">MAX(H$22-E25,0)</f>
        <v>35</v>
      </c>
      <c r="I25" s="2">
        <f t="shared" ref="I25:I40" si="7">F25+G25+H25</f>
        <v>0</v>
      </c>
    </row>
    <row r="26" spans="5:13" x14ac:dyDescent="0.35">
      <c r="E26">
        <v>80</v>
      </c>
      <c r="F26" s="3">
        <f t="shared" si="4"/>
        <v>10</v>
      </c>
      <c r="G26" s="3">
        <f t="shared" si="5"/>
        <v>-40</v>
      </c>
      <c r="H26" s="3">
        <f t="shared" si="6"/>
        <v>30</v>
      </c>
      <c r="I26" s="2">
        <f t="shared" si="7"/>
        <v>0</v>
      </c>
    </row>
    <row r="27" spans="5:13" x14ac:dyDescent="0.35">
      <c r="E27">
        <v>85</v>
      </c>
      <c r="F27" s="3">
        <f t="shared" si="4"/>
        <v>5</v>
      </c>
      <c r="G27" s="3">
        <f t="shared" si="5"/>
        <v>-30</v>
      </c>
      <c r="H27" s="3">
        <f t="shared" si="6"/>
        <v>25</v>
      </c>
      <c r="I27" s="2">
        <f t="shared" si="7"/>
        <v>0</v>
      </c>
    </row>
    <row r="28" spans="5:13" x14ac:dyDescent="0.35">
      <c r="E28">
        <v>90</v>
      </c>
      <c r="F28" s="3">
        <f t="shared" si="4"/>
        <v>0</v>
      </c>
      <c r="G28" s="3">
        <f t="shared" si="5"/>
        <v>-20</v>
      </c>
      <c r="H28" s="3">
        <f t="shared" si="6"/>
        <v>20</v>
      </c>
      <c r="I28" s="2">
        <f t="shared" si="7"/>
        <v>0</v>
      </c>
    </row>
    <row r="29" spans="5:13" x14ac:dyDescent="0.35">
      <c r="E29">
        <v>95</v>
      </c>
      <c r="F29" s="3">
        <f t="shared" si="4"/>
        <v>0</v>
      </c>
      <c r="G29" s="3">
        <f t="shared" si="5"/>
        <v>-10</v>
      </c>
      <c r="H29" s="3">
        <f t="shared" si="6"/>
        <v>15</v>
      </c>
      <c r="I29" s="2">
        <f t="shared" si="7"/>
        <v>5</v>
      </c>
    </row>
    <row r="30" spans="5:13" x14ac:dyDescent="0.35">
      <c r="E30">
        <v>100</v>
      </c>
      <c r="F30" s="3">
        <f t="shared" si="4"/>
        <v>0</v>
      </c>
      <c r="G30" s="3">
        <f t="shared" si="5"/>
        <v>0</v>
      </c>
      <c r="H30" s="3">
        <f t="shared" si="6"/>
        <v>10</v>
      </c>
      <c r="I30" s="2">
        <f t="shared" si="7"/>
        <v>10</v>
      </c>
    </row>
    <row r="31" spans="5:13" x14ac:dyDescent="0.35">
      <c r="E31">
        <v>105</v>
      </c>
      <c r="F31" s="3">
        <f t="shared" si="4"/>
        <v>0</v>
      </c>
      <c r="G31" s="3">
        <f t="shared" si="5"/>
        <v>0</v>
      </c>
      <c r="H31" s="3">
        <f t="shared" si="6"/>
        <v>5</v>
      </c>
      <c r="I31" s="2">
        <f t="shared" si="7"/>
        <v>5</v>
      </c>
    </row>
    <row r="32" spans="5:13" x14ac:dyDescent="0.35">
      <c r="E32">
        <v>110</v>
      </c>
      <c r="F32" s="3">
        <f t="shared" si="4"/>
        <v>0</v>
      </c>
      <c r="G32" s="3">
        <f t="shared" si="5"/>
        <v>0</v>
      </c>
      <c r="H32" s="3">
        <f t="shared" si="6"/>
        <v>0</v>
      </c>
      <c r="I32" s="2">
        <f t="shared" si="7"/>
        <v>0</v>
      </c>
    </row>
    <row r="33" spans="5:9" x14ac:dyDescent="0.35">
      <c r="E33">
        <v>115</v>
      </c>
      <c r="F33" s="3">
        <f t="shared" si="4"/>
        <v>0</v>
      </c>
      <c r="G33" s="3">
        <f t="shared" si="5"/>
        <v>0</v>
      </c>
      <c r="H33" s="3">
        <f t="shared" si="6"/>
        <v>0</v>
      </c>
      <c r="I33" s="2">
        <f t="shared" si="7"/>
        <v>0</v>
      </c>
    </row>
    <row r="34" spans="5:9" x14ac:dyDescent="0.35">
      <c r="E34">
        <v>120</v>
      </c>
      <c r="F34" s="3">
        <f t="shared" si="4"/>
        <v>0</v>
      </c>
      <c r="G34" s="3">
        <f t="shared" si="5"/>
        <v>0</v>
      </c>
      <c r="H34" s="3">
        <f t="shared" si="6"/>
        <v>0</v>
      </c>
      <c r="I34" s="2">
        <f t="shared" si="7"/>
        <v>0</v>
      </c>
    </row>
    <row r="35" spans="5:9" x14ac:dyDescent="0.35">
      <c r="E35">
        <v>125</v>
      </c>
      <c r="F35" s="3">
        <f t="shared" si="4"/>
        <v>0</v>
      </c>
      <c r="G35" s="3">
        <f t="shared" si="5"/>
        <v>0</v>
      </c>
      <c r="H35" s="3">
        <f t="shared" si="6"/>
        <v>0</v>
      </c>
      <c r="I35" s="2">
        <f t="shared" si="7"/>
        <v>0</v>
      </c>
    </row>
    <row r="36" spans="5:9" x14ac:dyDescent="0.35">
      <c r="E36">
        <v>130</v>
      </c>
      <c r="F36" s="3">
        <f t="shared" si="4"/>
        <v>0</v>
      </c>
      <c r="G36" s="3">
        <f t="shared" si="5"/>
        <v>0</v>
      </c>
      <c r="H36" s="3">
        <f t="shared" si="6"/>
        <v>0</v>
      </c>
      <c r="I36" s="2">
        <f t="shared" si="7"/>
        <v>0</v>
      </c>
    </row>
    <row r="37" spans="5:9" x14ac:dyDescent="0.35">
      <c r="E37">
        <v>135</v>
      </c>
      <c r="F37" s="3">
        <f t="shared" si="4"/>
        <v>0</v>
      </c>
      <c r="G37" s="3">
        <f t="shared" si="5"/>
        <v>0</v>
      </c>
      <c r="H37" s="3">
        <f t="shared" si="6"/>
        <v>0</v>
      </c>
      <c r="I37" s="2">
        <f t="shared" si="7"/>
        <v>0</v>
      </c>
    </row>
    <row r="38" spans="5:9" x14ac:dyDescent="0.35">
      <c r="E38">
        <v>140</v>
      </c>
      <c r="F38" s="3">
        <f t="shared" si="4"/>
        <v>0</v>
      </c>
      <c r="G38" s="3">
        <f t="shared" si="5"/>
        <v>0</v>
      </c>
      <c r="H38" s="3">
        <f t="shared" si="6"/>
        <v>0</v>
      </c>
      <c r="I38" s="2">
        <f t="shared" si="7"/>
        <v>0</v>
      </c>
    </row>
    <row r="39" spans="5:9" x14ac:dyDescent="0.35">
      <c r="E39">
        <v>145</v>
      </c>
      <c r="F39" s="3">
        <f t="shared" si="4"/>
        <v>0</v>
      </c>
      <c r="G39" s="3">
        <f t="shared" si="5"/>
        <v>0</v>
      </c>
      <c r="H39" s="3">
        <f t="shared" si="6"/>
        <v>0</v>
      </c>
      <c r="I39" s="2">
        <f t="shared" si="7"/>
        <v>0</v>
      </c>
    </row>
    <row r="40" spans="5:9" x14ac:dyDescent="0.35">
      <c r="E40">
        <v>150</v>
      </c>
      <c r="F40" s="3">
        <f t="shared" si="4"/>
        <v>0</v>
      </c>
      <c r="G40" s="3">
        <f t="shared" si="5"/>
        <v>0</v>
      </c>
      <c r="H40" s="3">
        <f t="shared" si="6"/>
        <v>0</v>
      </c>
      <c r="I40" s="2">
        <f t="shared" si="7"/>
        <v>0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B1:M40"/>
  <sheetViews>
    <sheetView topLeftCell="I1" zoomScale="85" zoomScaleNormal="85" workbookViewId="0">
      <selection activeCell="L8" sqref="L8"/>
    </sheetView>
  </sheetViews>
  <sheetFormatPr defaultRowHeight="14.5" x14ac:dyDescent="0.35"/>
  <cols>
    <col min="6" max="6" width="9.81640625" bestFit="1" customWidth="1"/>
    <col min="7" max="7" width="11.81640625" bestFit="1" customWidth="1"/>
    <col min="8" max="8" width="14.36328125" customWidth="1"/>
    <col min="9" max="9" width="14.26953125" bestFit="1" customWidth="1"/>
    <col min="10" max="10" width="13" bestFit="1" customWidth="1"/>
    <col min="11" max="11" width="15.26953125" customWidth="1"/>
    <col min="12" max="12" width="13.6328125" bestFit="1" customWidth="1"/>
  </cols>
  <sheetData>
    <row r="1" spans="2:13" x14ac:dyDescent="0.35">
      <c r="E1" t="s">
        <v>8</v>
      </c>
      <c r="F1">
        <v>90</v>
      </c>
      <c r="G1">
        <v>100</v>
      </c>
      <c r="H1">
        <v>110</v>
      </c>
      <c r="I1">
        <v>120</v>
      </c>
    </row>
    <row r="2" spans="2:13" x14ac:dyDescent="0.35">
      <c r="F2" t="s">
        <v>13</v>
      </c>
      <c r="G2" t="s">
        <v>19</v>
      </c>
      <c r="H2" t="s">
        <v>19</v>
      </c>
      <c r="I2" t="s">
        <v>13</v>
      </c>
      <c r="J2" t="s">
        <v>30</v>
      </c>
    </row>
    <row r="3" spans="2:13" x14ac:dyDescent="0.35">
      <c r="B3" t="s">
        <v>10</v>
      </c>
      <c r="C3">
        <v>90</v>
      </c>
      <c r="E3">
        <v>70</v>
      </c>
      <c r="F3" s="3">
        <f>MAX(E3-$F$1,0)</f>
        <v>0</v>
      </c>
      <c r="G3" s="3">
        <f>-MAX(E3-$G$1,0)</f>
        <v>0</v>
      </c>
      <c r="H3" s="3">
        <f>-MAX(E3-$H$1,0)</f>
        <v>0</v>
      </c>
      <c r="I3" s="3">
        <f>MAX(E3-$I$1,0)</f>
        <v>0</v>
      </c>
      <c r="J3" s="2">
        <f>F3+G3+H3+I3</f>
        <v>0</v>
      </c>
      <c r="K3" s="3"/>
      <c r="L3" s="3"/>
      <c r="M3" s="3"/>
    </row>
    <row r="4" spans="2:13" x14ac:dyDescent="0.35">
      <c r="B4" t="s">
        <v>1</v>
      </c>
      <c r="C4">
        <v>0</v>
      </c>
      <c r="E4">
        <v>75</v>
      </c>
      <c r="F4" s="3">
        <f t="shared" ref="F4:F19" si="0">MAX(E4-$F$1,0)</f>
        <v>0</v>
      </c>
      <c r="G4" s="3">
        <f t="shared" ref="G4:G19" si="1">-MAX(E4-$G$1,0)</f>
        <v>0</v>
      </c>
      <c r="H4" s="3">
        <f t="shared" ref="H4:H19" si="2">-MAX(E4-$H$1,0)</f>
        <v>0</v>
      </c>
      <c r="I4" s="3">
        <f t="shared" ref="I4:I19" si="3">MAX(E4-$I$1,0)</f>
        <v>0</v>
      </c>
      <c r="J4" s="2">
        <f t="shared" ref="J4:J19" si="4">F4+G4+H4+I4</f>
        <v>0</v>
      </c>
      <c r="K4" s="3"/>
      <c r="L4" s="3"/>
      <c r="M4" s="3"/>
    </row>
    <row r="5" spans="2:13" x14ac:dyDescent="0.35">
      <c r="B5" t="s">
        <v>2</v>
      </c>
      <c r="C5">
        <v>0</v>
      </c>
      <c r="E5">
        <v>80</v>
      </c>
      <c r="F5" s="3">
        <f t="shared" si="0"/>
        <v>0</v>
      </c>
      <c r="G5" s="3">
        <f t="shared" si="1"/>
        <v>0</v>
      </c>
      <c r="H5" s="3">
        <f t="shared" si="2"/>
        <v>0</v>
      </c>
      <c r="I5" s="3">
        <f t="shared" si="3"/>
        <v>0</v>
      </c>
      <c r="J5" s="2">
        <f t="shared" si="4"/>
        <v>0</v>
      </c>
      <c r="K5" s="3"/>
      <c r="L5" s="3"/>
      <c r="M5" s="3"/>
    </row>
    <row r="6" spans="2:13" x14ac:dyDescent="0.35">
      <c r="B6" t="s">
        <v>3</v>
      </c>
      <c r="C6">
        <v>0.2</v>
      </c>
      <c r="E6">
        <v>85</v>
      </c>
      <c r="F6" s="3">
        <f t="shared" si="0"/>
        <v>0</v>
      </c>
      <c r="G6" s="3">
        <f t="shared" si="1"/>
        <v>0</v>
      </c>
      <c r="H6" s="3">
        <f t="shared" si="2"/>
        <v>0</v>
      </c>
      <c r="I6" s="3">
        <f t="shared" si="3"/>
        <v>0</v>
      </c>
      <c r="J6" s="2">
        <f t="shared" si="4"/>
        <v>0</v>
      </c>
      <c r="K6" s="3"/>
      <c r="L6" s="3"/>
      <c r="M6" s="3"/>
    </row>
    <row r="7" spans="2:13" x14ac:dyDescent="0.35">
      <c r="B7" t="s">
        <v>11</v>
      </c>
      <c r="C7">
        <v>2</v>
      </c>
      <c r="E7">
        <v>90</v>
      </c>
      <c r="F7" s="3">
        <f t="shared" si="0"/>
        <v>0</v>
      </c>
      <c r="G7" s="3">
        <f t="shared" si="1"/>
        <v>0</v>
      </c>
      <c r="H7" s="3">
        <f t="shared" si="2"/>
        <v>0</v>
      </c>
      <c r="I7" s="3">
        <f t="shared" si="3"/>
        <v>0</v>
      </c>
      <c r="J7" s="2">
        <f t="shared" si="4"/>
        <v>0</v>
      </c>
      <c r="K7" s="3"/>
      <c r="L7" s="3"/>
      <c r="M7" s="3"/>
    </row>
    <row r="8" spans="2:13" x14ac:dyDescent="0.35">
      <c r="E8">
        <v>95</v>
      </c>
      <c r="F8" s="3">
        <f t="shared" si="0"/>
        <v>5</v>
      </c>
      <c r="G8" s="3">
        <f t="shared" si="1"/>
        <v>0</v>
      </c>
      <c r="H8" s="3">
        <f t="shared" si="2"/>
        <v>0</v>
      </c>
      <c r="I8" s="3">
        <f t="shared" si="3"/>
        <v>0</v>
      </c>
      <c r="J8" s="2">
        <f t="shared" si="4"/>
        <v>5</v>
      </c>
      <c r="K8" s="3"/>
      <c r="L8" s="3"/>
      <c r="M8" s="3"/>
    </row>
    <row r="9" spans="2:13" x14ac:dyDescent="0.35">
      <c r="B9" t="s">
        <v>12</v>
      </c>
      <c r="C9" s="1">
        <f>BlackPutPrice(C3,C4,C5,C6,C7,F1)</f>
        <v>10.121662441645647</v>
      </c>
      <c r="E9">
        <v>100</v>
      </c>
      <c r="F9" s="3">
        <f t="shared" si="0"/>
        <v>10</v>
      </c>
      <c r="G9" s="3">
        <f t="shared" si="1"/>
        <v>0</v>
      </c>
      <c r="H9" s="3">
        <f t="shared" si="2"/>
        <v>0</v>
      </c>
      <c r="I9" s="3">
        <f t="shared" si="3"/>
        <v>0</v>
      </c>
      <c r="J9" s="2">
        <f t="shared" si="4"/>
        <v>10</v>
      </c>
      <c r="K9" s="3"/>
      <c r="L9" s="3"/>
      <c r="M9" s="3"/>
    </row>
    <row r="10" spans="2:13" x14ac:dyDescent="0.35">
      <c r="E10">
        <v>105</v>
      </c>
      <c r="F10" s="3">
        <f t="shared" si="0"/>
        <v>15</v>
      </c>
      <c r="G10" s="3">
        <f t="shared" si="1"/>
        <v>-5</v>
      </c>
      <c r="H10" s="3">
        <f t="shared" si="2"/>
        <v>0</v>
      </c>
      <c r="I10" s="3">
        <f t="shared" si="3"/>
        <v>0</v>
      </c>
      <c r="J10" s="2">
        <f t="shared" si="4"/>
        <v>10</v>
      </c>
      <c r="K10" s="3"/>
      <c r="L10" s="3"/>
      <c r="M10" s="3"/>
    </row>
    <row r="11" spans="2:13" x14ac:dyDescent="0.35">
      <c r="E11">
        <v>110</v>
      </c>
      <c r="F11" s="3">
        <f t="shared" si="0"/>
        <v>20</v>
      </c>
      <c r="G11" s="3">
        <f t="shared" si="1"/>
        <v>-10</v>
      </c>
      <c r="H11" s="3">
        <f t="shared" si="2"/>
        <v>0</v>
      </c>
      <c r="I11" s="3">
        <f t="shared" si="3"/>
        <v>0</v>
      </c>
      <c r="J11" s="2">
        <f t="shared" si="4"/>
        <v>10</v>
      </c>
      <c r="K11" s="3"/>
      <c r="L11" s="3"/>
      <c r="M11" s="3"/>
    </row>
    <row r="12" spans="2:13" x14ac:dyDescent="0.35">
      <c r="E12">
        <v>115</v>
      </c>
      <c r="F12" s="3">
        <f t="shared" si="0"/>
        <v>25</v>
      </c>
      <c r="G12" s="3">
        <f t="shared" si="1"/>
        <v>-15</v>
      </c>
      <c r="H12" s="3">
        <f t="shared" si="2"/>
        <v>-5</v>
      </c>
      <c r="I12" s="3">
        <f t="shared" si="3"/>
        <v>0</v>
      </c>
      <c r="J12" s="2">
        <f t="shared" si="4"/>
        <v>5</v>
      </c>
      <c r="K12" s="3"/>
      <c r="L12" s="3"/>
      <c r="M12" s="3"/>
    </row>
    <row r="13" spans="2:13" x14ac:dyDescent="0.35">
      <c r="E13">
        <v>120</v>
      </c>
      <c r="F13" s="3">
        <f t="shared" si="0"/>
        <v>30</v>
      </c>
      <c r="G13" s="3">
        <f t="shared" si="1"/>
        <v>-20</v>
      </c>
      <c r="H13" s="3">
        <f t="shared" si="2"/>
        <v>-10</v>
      </c>
      <c r="I13" s="3">
        <f t="shared" si="3"/>
        <v>0</v>
      </c>
      <c r="J13" s="2">
        <f t="shared" si="4"/>
        <v>0</v>
      </c>
      <c r="K13" s="3"/>
      <c r="L13" s="3"/>
      <c r="M13" s="3"/>
    </row>
    <row r="14" spans="2:13" x14ac:dyDescent="0.35">
      <c r="E14">
        <v>125</v>
      </c>
      <c r="F14" s="3">
        <f t="shared" si="0"/>
        <v>35</v>
      </c>
      <c r="G14" s="3">
        <f t="shared" si="1"/>
        <v>-25</v>
      </c>
      <c r="H14" s="3">
        <f t="shared" si="2"/>
        <v>-15</v>
      </c>
      <c r="I14" s="3">
        <f t="shared" si="3"/>
        <v>5</v>
      </c>
      <c r="J14" s="2">
        <f t="shared" si="4"/>
        <v>0</v>
      </c>
      <c r="K14" s="3"/>
      <c r="L14" s="3"/>
      <c r="M14" s="3"/>
    </row>
    <row r="15" spans="2:13" x14ac:dyDescent="0.35">
      <c r="E15">
        <v>130</v>
      </c>
      <c r="F15" s="3">
        <f t="shared" si="0"/>
        <v>40</v>
      </c>
      <c r="G15" s="3">
        <f t="shared" si="1"/>
        <v>-30</v>
      </c>
      <c r="H15" s="3">
        <f t="shared" si="2"/>
        <v>-20</v>
      </c>
      <c r="I15" s="3">
        <f t="shared" si="3"/>
        <v>10</v>
      </c>
      <c r="J15" s="2">
        <f t="shared" si="4"/>
        <v>0</v>
      </c>
      <c r="K15" s="3"/>
      <c r="L15" s="3"/>
      <c r="M15" s="3"/>
    </row>
    <row r="16" spans="2:13" x14ac:dyDescent="0.35">
      <c r="E16">
        <v>135</v>
      </c>
      <c r="F16" s="3">
        <f t="shared" si="0"/>
        <v>45</v>
      </c>
      <c r="G16" s="3">
        <f t="shared" si="1"/>
        <v>-35</v>
      </c>
      <c r="H16" s="3">
        <f t="shared" si="2"/>
        <v>-25</v>
      </c>
      <c r="I16" s="3">
        <f t="shared" si="3"/>
        <v>15</v>
      </c>
      <c r="J16" s="2">
        <f t="shared" si="4"/>
        <v>0</v>
      </c>
      <c r="K16" s="3"/>
      <c r="L16" s="3"/>
      <c r="M16" s="3"/>
    </row>
    <row r="17" spans="5:13" x14ac:dyDescent="0.35">
      <c r="E17">
        <v>140</v>
      </c>
      <c r="F17" s="3">
        <f t="shared" si="0"/>
        <v>50</v>
      </c>
      <c r="G17" s="3">
        <f t="shared" si="1"/>
        <v>-40</v>
      </c>
      <c r="H17" s="3">
        <f t="shared" si="2"/>
        <v>-30</v>
      </c>
      <c r="I17" s="3">
        <f t="shared" si="3"/>
        <v>20</v>
      </c>
      <c r="J17" s="2">
        <f t="shared" si="4"/>
        <v>0</v>
      </c>
      <c r="K17" s="3"/>
      <c r="L17" s="3"/>
      <c r="M17" s="3"/>
    </row>
    <row r="18" spans="5:13" x14ac:dyDescent="0.35">
      <c r="E18">
        <v>145</v>
      </c>
      <c r="F18" s="3">
        <f t="shared" si="0"/>
        <v>55</v>
      </c>
      <c r="G18" s="3">
        <f t="shared" si="1"/>
        <v>-45</v>
      </c>
      <c r="H18" s="3">
        <f t="shared" si="2"/>
        <v>-35</v>
      </c>
      <c r="I18" s="3">
        <f t="shared" si="3"/>
        <v>25</v>
      </c>
      <c r="J18" s="2">
        <f t="shared" si="4"/>
        <v>0</v>
      </c>
      <c r="K18" s="3"/>
      <c r="L18" s="3"/>
      <c r="M18" s="3"/>
    </row>
    <row r="19" spans="5:13" x14ac:dyDescent="0.35">
      <c r="E19">
        <v>150</v>
      </c>
      <c r="F19" s="3">
        <f t="shared" si="0"/>
        <v>60</v>
      </c>
      <c r="G19" s="3">
        <f t="shared" si="1"/>
        <v>-50</v>
      </c>
      <c r="H19" s="3">
        <f t="shared" si="2"/>
        <v>-40</v>
      </c>
      <c r="I19" s="3">
        <f t="shared" si="3"/>
        <v>30</v>
      </c>
      <c r="J19" s="2">
        <f t="shared" si="4"/>
        <v>0</v>
      </c>
      <c r="K19" s="3"/>
      <c r="L19" s="3"/>
      <c r="M19" s="3"/>
    </row>
    <row r="22" spans="5:13" x14ac:dyDescent="0.35">
      <c r="E22" t="s">
        <v>8</v>
      </c>
      <c r="F22">
        <v>90</v>
      </c>
      <c r="G22">
        <v>100</v>
      </c>
      <c r="H22">
        <v>110</v>
      </c>
    </row>
    <row r="23" spans="5:13" x14ac:dyDescent="0.35">
      <c r="F23" t="s">
        <v>7</v>
      </c>
      <c r="G23" t="s">
        <v>29</v>
      </c>
      <c r="H23" t="s">
        <v>7</v>
      </c>
      <c r="I23" t="s">
        <v>28</v>
      </c>
    </row>
    <row r="24" spans="5:13" x14ac:dyDescent="0.35">
      <c r="E24">
        <v>70</v>
      </c>
      <c r="F24" s="3">
        <f>MAX(F$22-E24,0)</f>
        <v>20</v>
      </c>
      <c r="G24" s="3">
        <f>-2*MAX(G$22-E24,0)</f>
        <v>-60</v>
      </c>
      <c r="H24" s="3">
        <f>MAX(H$22-E24,0)</f>
        <v>40</v>
      </c>
      <c r="I24" s="2">
        <f>F24+G24+H24</f>
        <v>0</v>
      </c>
    </row>
    <row r="25" spans="5:13" x14ac:dyDescent="0.35">
      <c r="E25">
        <v>75</v>
      </c>
      <c r="F25" s="3">
        <f t="shared" ref="F25:F40" si="5">MAX(F$22-E25,0)</f>
        <v>15</v>
      </c>
      <c r="G25" s="3">
        <f t="shared" ref="G25:G40" si="6">-2*MAX(G$22-E25,0)</f>
        <v>-50</v>
      </c>
      <c r="H25" s="3">
        <f t="shared" ref="H25:H40" si="7">MAX(H$22-E25,0)</f>
        <v>35</v>
      </c>
      <c r="I25" s="2">
        <f t="shared" ref="I25:I40" si="8">F25+G25+H25</f>
        <v>0</v>
      </c>
    </row>
    <row r="26" spans="5:13" x14ac:dyDescent="0.35">
      <c r="E26">
        <v>80</v>
      </c>
      <c r="F26" s="3">
        <f t="shared" si="5"/>
        <v>10</v>
      </c>
      <c r="G26" s="3">
        <f t="shared" si="6"/>
        <v>-40</v>
      </c>
      <c r="H26" s="3">
        <f t="shared" si="7"/>
        <v>30</v>
      </c>
      <c r="I26" s="2">
        <f t="shared" si="8"/>
        <v>0</v>
      </c>
    </row>
    <row r="27" spans="5:13" x14ac:dyDescent="0.35">
      <c r="E27">
        <v>85</v>
      </c>
      <c r="F27" s="3">
        <f t="shared" si="5"/>
        <v>5</v>
      </c>
      <c r="G27" s="3">
        <f t="shared" si="6"/>
        <v>-30</v>
      </c>
      <c r="H27" s="3">
        <f t="shared" si="7"/>
        <v>25</v>
      </c>
      <c r="I27" s="2">
        <f t="shared" si="8"/>
        <v>0</v>
      </c>
    </row>
    <row r="28" spans="5:13" x14ac:dyDescent="0.35">
      <c r="E28">
        <v>90</v>
      </c>
      <c r="F28" s="3">
        <f t="shared" si="5"/>
        <v>0</v>
      </c>
      <c r="G28" s="3">
        <f t="shared" si="6"/>
        <v>-20</v>
      </c>
      <c r="H28" s="3">
        <f t="shared" si="7"/>
        <v>20</v>
      </c>
      <c r="I28" s="2">
        <f t="shared" si="8"/>
        <v>0</v>
      </c>
    </row>
    <row r="29" spans="5:13" x14ac:dyDescent="0.35">
      <c r="E29">
        <v>95</v>
      </c>
      <c r="F29" s="3">
        <f t="shared" si="5"/>
        <v>0</v>
      </c>
      <c r="G29" s="3">
        <f t="shared" si="6"/>
        <v>-10</v>
      </c>
      <c r="H29" s="3">
        <f t="shared" si="7"/>
        <v>15</v>
      </c>
      <c r="I29" s="2">
        <f t="shared" si="8"/>
        <v>5</v>
      </c>
    </row>
    <row r="30" spans="5:13" x14ac:dyDescent="0.35">
      <c r="E30">
        <v>100</v>
      </c>
      <c r="F30" s="3">
        <f t="shared" si="5"/>
        <v>0</v>
      </c>
      <c r="G30" s="3">
        <f t="shared" si="6"/>
        <v>0</v>
      </c>
      <c r="H30" s="3">
        <f t="shared" si="7"/>
        <v>10</v>
      </c>
      <c r="I30" s="2">
        <f t="shared" si="8"/>
        <v>10</v>
      </c>
    </row>
    <row r="31" spans="5:13" x14ac:dyDescent="0.35">
      <c r="E31">
        <v>105</v>
      </c>
      <c r="F31" s="3">
        <f t="shared" si="5"/>
        <v>0</v>
      </c>
      <c r="G31" s="3">
        <f t="shared" si="6"/>
        <v>0</v>
      </c>
      <c r="H31" s="3">
        <f t="shared" si="7"/>
        <v>5</v>
      </c>
      <c r="I31" s="2">
        <f t="shared" si="8"/>
        <v>5</v>
      </c>
    </row>
    <row r="32" spans="5:13" x14ac:dyDescent="0.35">
      <c r="E32">
        <v>110</v>
      </c>
      <c r="F32" s="3">
        <f t="shared" si="5"/>
        <v>0</v>
      </c>
      <c r="G32" s="3">
        <f t="shared" si="6"/>
        <v>0</v>
      </c>
      <c r="H32" s="3">
        <f t="shared" si="7"/>
        <v>0</v>
      </c>
      <c r="I32" s="2">
        <f t="shared" si="8"/>
        <v>0</v>
      </c>
    </row>
    <row r="33" spans="5:9" x14ac:dyDescent="0.35">
      <c r="E33">
        <v>115</v>
      </c>
      <c r="F33" s="3">
        <f t="shared" si="5"/>
        <v>0</v>
      </c>
      <c r="G33" s="3">
        <f t="shared" si="6"/>
        <v>0</v>
      </c>
      <c r="H33" s="3">
        <f t="shared" si="7"/>
        <v>0</v>
      </c>
      <c r="I33" s="2">
        <f t="shared" si="8"/>
        <v>0</v>
      </c>
    </row>
    <row r="34" spans="5:9" x14ac:dyDescent="0.35">
      <c r="E34">
        <v>120</v>
      </c>
      <c r="F34" s="3">
        <f t="shared" si="5"/>
        <v>0</v>
      </c>
      <c r="G34" s="3">
        <f t="shared" si="6"/>
        <v>0</v>
      </c>
      <c r="H34" s="3">
        <f t="shared" si="7"/>
        <v>0</v>
      </c>
      <c r="I34" s="2">
        <f t="shared" si="8"/>
        <v>0</v>
      </c>
    </row>
    <row r="35" spans="5:9" x14ac:dyDescent="0.35">
      <c r="E35">
        <v>125</v>
      </c>
      <c r="F35" s="3">
        <f t="shared" si="5"/>
        <v>0</v>
      </c>
      <c r="G35" s="3">
        <f t="shared" si="6"/>
        <v>0</v>
      </c>
      <c r="H35" s="3">
        <f t="shared" si="7"/>
        <v>0</v>
      </c>
      <c r="I35" s="2">
        <f t="shared" si="8"/>
        <v>0</v>
      </c>
    </row>
    <row r="36" spans="5:9" x14ac:dyDescent="0.35">
      <c r="E36">
        <v>130</v>
      </c>
      <c r="F36" s="3">
        <f t="shared" si="5"/>
        <v>0</v>
      </c>
      <c r="G36" s="3">
        <f t="shared" si="6"/>
        <v>0</v>
      </c>
      <c r="H36" s="3">
        <f t="shared" si="7"/>
        <v>0</v>
      </c>
      <c r="I36" s="2">
        <f t="shared" si="8"/>
        <v>0</v>
      </c>
    </row>
    <row r="37" spans="5:9" x14ac:dyDescent="0.35">
      <c r="E37">
        <v>135</v>
      </c>
      <c r="F37" s="3">
        <f t="shared" si="5"/>
        <v>0</v>
      </c>
      <c r="G37" s="3">
        <f t="shared" si="6"/>
        <v>0</v>
      </c>
      <c r="H37" s="3">
        <f t="shared" si="7"/>
        <v>0</v>
      </c>
      <c r="I37" s="2">
        <f t="shared" si="8"/>
        <v>0</v>
      </c>
    </row>
    <row r="38" spans="5:9" x14ac:dyDescent="0.35">
      <c r="E38">
        <v>140</v>
      </c>
      <c r="F38" s="3">
        <f t="shared" si="5"/>
        <v>0</v>
      </c>
      <c r="G38" s="3">
        <f t="shared" si="6"/>
        <v>0</v>
      </c>
      <c r="H38" s="3">
        <f t="shared" si="7"/>
        <v>0</v>
      </c>
      <c r="I38" s="2">
        <f t="shared" si="8"/>
        <v>0</v>
      </c>
    </row>
    <row r="39" spans="5:9" x14ac:dyDescent="0.35">
      <c r="E39">
        <v>145</v>
      </c>
      <c r="F39" s="3">
        <f t="shared" si="5"/>
        <v>0</v>
      </c>
      <c r="G39" s="3">
        <f t="shared" si="6"/>
        <v>0</v>
      </c>
      <c r="H39" s="3">
        <f t="shared" si="7"/>
        <v>0</v>
      </c>
      <c r="I39" s="2">
        <f t="shared" si="8"/>
        <v>0</v>
      </c>
    </row>
    <row r="40" spans="5:9" x14ac:dyDescent="0.35">
      <c r="E40">
        <v>150</v>
      </c>
      <c r="F40" s="3">
        <f t="shared" si="5"/>
        <v>0</v>
      </c>
      <c r="G40" s="3">
        <f t="shared" si="6"/>
        <v>0</v>
      </c>
      <c r="H40" s="3">
        <f t="shared" si="7"/>
        <v>0</v>
      </c>
      <c r="I40" s="2">
        <f t="shared" si="8"/>
        <v>0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B1:K40"/>
  <sheetViews>
    <sheetView zoomScale="85" zoomScaleNormal="85" workbookViewId="0">
      <selection activeCell="E3" sqref="E3:E19"/>
    </sheetView>
  </sheetViews>
  <sheetFormatPr defaultRowHeight="14.5" x14ac:dyDescent="0.35"/>
  <cols>
    <col min="6" max="6" width="9.81640625" bestFit="1" customWidth="1"/>
    <col min="7" max="7" width="11.81640625" bestFit="1" customWidth="1"/>
    <col min="8" max="8" width="13" bestFit="1" customWidth="1"/>
    <col min="9" max="9" width="15.26953125" customWidth="1"/>
    <col min="10" max="10" width="13.6328125" bestFit="1" customWidth="1"/>
  </cols>
  <sheetData>
    <row r="1" spans="2:11" x14ac:dyDescent="0.35">
      <c r="E1" t="s">
        <v>8</v>
      </c>
      <c r="F1">
        <v>90</v>
      </c>
      <c r="G1">
        <v>100</v>
      </c>
    </row>
    <row r="2" spans="2:11" x14ac:dyDescent="0.35">
      <c r="F2" t="s">
        <v>13</v>
      </c>
      <c r="G2" t="s">
        <v>31</v>
      </c>
      <c r="H2" t="s">
        <v>32</v>
      </c>
    </row>
    <row r="3" spans="2:11" x14ac:dyDescent="0.35">
      <c r="B3" t="s">
        <v>10</v>
      </c>
      <c r="C3">
        <v>90</v>
      </c>
      <c r="E3">
        <v>70</v>
      </c>
      <c r="F3" s="3">
        <f>MAX(E3-$F$1,0)</f>
        <v>0</v>
      </c>
      <c r="G3" s="3">
        <f>-2*MAX(E3-$G$1,0)</f>
        <v>0</v>
      </c>
      <c r="H3" s="2">
        <f>F3+G3</f>
        <v>0</v>
      </c>
      <c r="I3" s="3"/>
      <c r="J3" s="3"/>
      <c r="K3" s="3"/>
    </row>
    <row r="4" spans="2:11" x14ac:dyDescent="0.35">
      <c r="B4" t="s">
        <v>1</v>
      </c>
      <c r="C4">
        <v>0</v>
      </c>
      <c r="E4">
        <v>75</v>
      </c>
      <c r="F4" s="3">
        <f t="shared" ref="F4:F19" si="0">MAX(E4-$F$1,0)</f>
        <v>0</v>
      </c>
      <c r="G4" s="3">
        <f t="shared" ref="G4:G19" si="1">-2*MAX(E4-$G$1,0)</f>
        <v>0</v>
      </c>
      <c r="H4" s="2">
        <f t="shared" ref="H4:H19" si="2">F4+G4</f>
        <v>0</v>
      </c>
      <c r="I4" s="3"/>
      <c r="J4" s="3"/>
      <c r="K4" s="3"/>
    </row>
    <row r="5" spans="2:11" x14ac:dyDescent="0.35">
      <c r="B5" t="s">
        <v>2</v>
      </c>
      <c r="C5">
        <v>0</v>
      </c>
      <c r="E5">
        <v>80</v>
      </c>
      <c r="F5" s="3">
        <f t="shared" si="0"/>
        <v>0</v>
      </c>
      <c r="G5" s="3">
        <f t="shared" si="1"/>
        <v>0</v>
      </c>
      <c r="H5" s="2">
        <f t="shared" si="2"/>
        <v>0</v>
      </c>
      <c r="I5" s="3"/>
      <c r="J5" s="3"/>
      <c r="K5" s="3"/>
    </row>
    <row r="6" spans="2:11" x14ac:dyDescent="0.35">
      <c r="B6" t="s">
        <v>3</v>
      </c>
      <c r="C6">
        <v>0.2</v>
      </c>
      <c r="E6">
        <v>85</v>
      </c>
      <c r="F6" s="3">
        <f t="shared" si="0"/>
        <v>0</v>
      </c>
      <c r="G6" s="3">
        <f t="shared" si="1"/>
        <v>0</v>
      </c>
      <c r="H6" s="2">
        <f t="shared" si="2"/>
        <v>0</v>
      </c>
      <c r="I6" s="3"/>
      <c r="J6" s="3"/>
      <c r="K6" s="3"/>
    </row>
    <row r="7" spans="2:11" x14ac:dyDescent="0.35">
      <c r="B7" t="s">
        <v>11</v>
      </c>
      <c r="C7">
        <v>2</v>
      </c>
      <c r="E7">
        <v>90</v>
      </c>
      <c r="F7" s="3">
        <f t="shared" si="0"/>
        <v>0</v>
      </c>
      <c r="G7" s="3">
        <f t="shared" si="1"/>
        <v>0</v>
      </c>
      <c r="H7" s="2">
        <f t="shared" si="2"/>
        <v>0</v>
      </c>
      <c r="I7" s="3"/>
      <c r="J7" s="3"/>
      <c r="K7" s="3"/>
    </row>
    <row r="8" spans="2:11" x14ac:dyDescent="0.35">
      <c r="E8">
        <v>95</v>
      </c>
      <c r="F8" s="3">
        <f t="shared" si="0"/>
        <v>5</v>
      </c>
      <c r="G8" s="3">
        <f t="shared" si="1"/>
        <v>0</v>
      </c>
      <c r="H8" s="2">
        <f t="shared" si="2"/>
        <v>5</v>
      </c>
      <c r="I8" s="3"/>
      <c r="J8" s="3"/>
      <c r="K8" s="3"/>
    </row>
    <row r="9" spans="2:11" x14ac:dyDescent="0.35">
      <c r="B9" t="s">
        <v>12</v>
      </c>
      <c r="C9" s="1">
        <f>BlackPutPrice(C3,C4,C5,C6,C7,F1)</f>
        <v>10.121662441645647</v>
      </c>
      <c r="E9">
        <v>100</v>
      </c>
      <c r="F9" s="3">
        <f t="shared" si="0"/>
        <v>10</v>
      </c>
      <c r="G9" s="3">
        <f t="shared" si="1"/>
        <v>0</v>
      </c>
      <c r="H9" s="2">
        <f t="shared" si="2"/>
        <v>10</v>
      </c>
      <c r="I9" s="3"/>
      <c r="J9" s="3"/>
      <c r="K9" s="3"/>
    </row>
    <row r="10" spans="2:11" x14ac:dyDescent="0.35">
      <c r="E10">
        <v>105</v>
      </c>
      <c r="F10" s="3">
        <f t="shared" si="0"/>
        <v>15</v>
      </c>
      <c r="G10" s="3">
        <f t="shared" si="1"/>
        <v>-10</v>
      </c>
      <c r="H10" s="2">
        <f t="shared" si="2"/>
        <v>5</v>
      </c>
      <c r="I10" s="3"/>
      <c r="J10" s="3"/>
      <c r="K10" s="3"/>
    </row>
    <row r="11" spans="2:11" x14ac:dyDescent="0.35">
      <c r="E11">
        <v>110</v>
      </c>
      <c r="F11" s="3">
        <f t="shared" si="0"/>
        <v>20</v>
      </c>
      <c r="G11" s="3">
        <f t="shared" si="1"/>
        <v>-20</v>
      </c>
      <c r="H11" s="2">
        <f t="shared" si="2"/>
        <v>0</v>
      </c>
      <c r="I11" s="3"/>
      <c r="J11" s="3"/>
      <c r="K11" s="3"/>
    </row>
    <row r="12" spans="2:11" x14ac:dyDescent="0.35">
      <c r="E12">
        <v>115</v>
      </c>
      <c r="F12" s="3">
        <f t="shared" si="0"/>
        <v>25</v>
      </c>
      <c r="G12" s="3">
        <f t="shared" si="1"/>
        <v>-30</v>
      </c>
      <c r="H12" s="2">
        <f t="shared" si="2"/>
        <v>-5</v>
      </c>
      <c r="I12" s="3"/>
      <c r="J12" s="3"/>
      <c r="K12" s="3"/>
    </row>
    <row r="13" spans="2:11" x14ac:dyDescent="0.35">
      <c r="E13">
        <v>120</v>
      </c>
      <c r="F13" s="3">
        <f t="shared" si="0"/>
        <v>30</v>
      </c>
      <c r="G13" s="3">
        <f t="shared" si="1"/>
        <v>-40</v>
      </c>
      <c r="H13" s="2">
        <f t="shared" si="2"/>
        <v>-10</v>
      </c>
      <c r="I13" s="3"/>
      <c r="J13" s="3"/>
      <c r="K13" s="3"/>
    </row>
    <row r="14" spans="2:11" x14ac:dyDescent="0.35">
      <c r="E14">
        <v>125</v>
      </c>
      <c r="F14" s="3">
        <f t="shared" si="0"/>
        <v>35</v>
      </c>
      <c r="G14" s="3">
        <f t="shared" si="1"/>
        <v>-50</v>
      </c>
      <c r="H14" s="2">
        <f t="shared" si="2"/>
        <v>-15</v>
      </c>
      <c r="I14" s="3"/>
      <c r="J14" s="3"/>
      <c r="K14" s="3"/>
    </row>
    <row r="15" spans="2:11" x14ac:dyDescent="0.35">
      <c r="E15">
        <v>130</v>
      </c>
      <c r="F15" s="3">
        <f t="shared" si="0"/>
        <v>40</v>
      </c>
      <c r="G15" s="3">
        <f t="shared" si="1"/>
        <v>-60</v>
      </c>
      <c r="H15" s="2">
        <f t="shared" si="2"/>
        <v>-20</v>
      </c>
      <c r="I15" s="3"/>
      <c r="J15" s="3"/>
      <c r="K15" s="3"/>
    </row>
    <row r="16" spans="2:11" x14ac:dyDescent="0.35">
      <c r="E16">
        <v>135</v>
      </c>
      <c r="F16" s="3">
        <f t="shared" si="0"/>
        <v>45</v>
      </c>
      <c r="G16" s="3">
        <f t="shared" si="1"/>
        <v>-70</v>
      </c>
      <c r="H16" s="2">
        <f t="shared" si="2"/>
        <v>-25</v>
      </c>
      <c r="I16" s="3"/>
      <c r="J16" s="3"/>
      <c r="K16" s="3"/>
    </row>
    <row r="17" spans="5:11" x14ac:dyDescent="0.35">
      <c r="E17">
        <v>140</v>
      </c>
      <c r="F17" s="3">
        <f t="shared" si="0"/>
        <v>50</v>
      </c>
      <c r="G17" s="3">
        <f t="shared" si="1"/>
        <v>-80</v>
      </c>
      <c r="H17" s="2">
        <f t="shared" si="2"/>
        <v>-30</v>
      </c>
      <c r="I17" s="3"/>
      <c r="J17" s="3"/>
      <c r="K17" s="3"/>
    </row>
    <row r="18" spans="5:11" x14ac:dyDescent="0.35">
      <c r="E18">
        <v>145</v>
      </c>
      <c r="F18" s="3">
        <f t="shared" si="0"/>
        <v>55</v>
      </c>
      <c r="G18" s="3">
        <f t="shared" si="1"/>
        <v>-90</v>
      </c>
      <c r="H18" s="2">
        <f t="shared" si="2"/>
        <v>-35</v>
      </c>
      <c r="I18" s="3"/>
      <c r="J18" s="3"/>
      <c r="K18" s="3"/>
    </row>
    <row r="19" spans="5:11" x14ac:dyDescent="0.35">
      <c r="E19">
        <v>150</v>
      </c>
      <c r="F19" s="3">
        <f t="shared" si="0"/>
        <v>60</v>
      </c>
      <c r="G19" s="3">
        <f t="shared" si="1"/>
        <v>-100</v>
      </c>
      <c r="H19" s="2">
        <f t="shared" si="2"/>
        <v>-40</v>
      </c>
      <c r="I19" s="3"/>
      <c r="J19" s="3"/>
      <c r="K19" s="3"/>
    </row>
    <row r="24" spans="5:11" x14ac:dyDescent="0.35">
      <c r="F24" s="3"/>
      <c r="G24" s="3"/>
    </row>
    <row r="25" spans="5:11" x14ac:dyDescent="0.35">
      <c r="F25" s="3"/>
      <c r="G25" s="3"/>
    </row>
    <row r="26" spans="5:11" x14ac:dyDescent="0.35">
      <c r="F26" s="3"/>
      <c r="G26" s="3"/>
    </row>
    <row r="27" spans="5:11" x14ac:dyDescent="0.35">
      <c r="F27" s="3"/>
      <c r="G27" s="3"/>
    </row>
    <row r="28" spans="5:11" x14ac:dyDescent="0.35">
      <c r="F28" s="3"/>
      <c r="G28" s="3"/>
    </row>
    <row r="29" spans="5:11" x14ac:dyDescent="0.35">
      <c r="F29" s="3"/>
      <c r="G29" s="3"/>
    </row>
    <row r="30" spans="5:11" x14ac:dyDescent="0.35">
      <c r="F30" s="3"/>
      <c r="G30" s="3"/>
    </row>
    <row r="31" spans="5:11" x14ac:dyDescent="0.35">
      <c r="F31" s="3"/>
      <c r="G31" s="3"/>
    </row>
    <row r="32" spans="5:11" x14ac:dyDescent="0.35">
      <c r="F32" s="3"/>
      <c r="G32" s="3"/>
    </row>
    <row r="33" spans="6:7" x14ac:dyDescent="0.35">
      <c r="F33" s="3"/>
      <c r="G33" s="3"/>
    </row>
    <row r="34" spans="6:7" x14ac:dyDescent="0.35">
      <c r="F34" s="3"/>
      <c r="G34" s="3"/>
    </row>
    <row r="35" spans="6:7" x14ac:dyDescent="0.35">
      <c r="F35" s="3"/>
      <c r="G35" s="3"/>
    </row>
    <row r="36" spans="6:7" x14ac:dyDescent="0.35">
      <c r="F36" s="3"/>
      <c r="G36" s="3"/>
    </row>
    <row r="37" spans="6:7" x14ac:dyDescent="0.35">
      <c r="F37" s="3"/>
      <c r="G37" s="3"/>
    </row>
    <row r="38" spans="6:7" x14ac:dyDescent="0.35">
      <c r="F38" s="3"/>
      <c r="G38" s="3"/>
    </row>
    <row r="39" spans="6:7" x14ac:dyDescent="0.35">
      <c r="F39" s="3"/>
      <c r="G39" s="3"/>
    </row>
    <row r="40" spans="6:7" x14ac:dyDescent="0.35">
      <c r="F40" s="3"/>
      <c r="G40" s="3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B1:K40"/>
  <sheetViews>
    <sheetView tabSelected="1" zoomScale="85" zoomScaleNormal="85" workbookViewId="0">
      <selection activeCell="F17" sqref="F17"/>
    </sheetView>
  </sheetViews>
  <sheetFormatPr defaultRowHeight="14.5" x14ac:dyDescent="0.35"/>
  <cols>
    <col min="6" max="6" width="11.08984375" bestFit="1" customWidth="1"/>
    <col min="7" max="7" width="11.81640625" bestFit="1" customWidth="1"/>
    <col min="8" max="8" width="13" bestFit="1" customWidth="1"/>
    <col min="9" max="9" width="15.26953125" customWidth="1"/>
    <col min="10" max="10" width="13.6328125" bestFit="1" customWidth="1"/>
  </cols>
  <sheetData>
    <row r="1" spans="2:11" x14ac:dyDescent="0.35">
      <c r="E1" t="s">
        <v>8</v>
      </c>
      <c r="F1">
        <v>105</v>
      </c>
      <c r="G1">
        <v>95</v>
      </c>
    </row>
    <row r="2" spans="2:11" x14ac:dyDescent="0.35">
      <c r="F2" t="s">
        <v>13</v>
      </c>
      <c r="G2" t="s">
        <v>7</v>
      </c>
      <c r="H2" t="s">
        <v>33</v>
      </c>
    </row>
    <row r="3" spans="2:11" x14ac:dyDescent="0.35">
      <c r="B3" t="s">
        <v>10</v>
      </c>
      <c r="C3">
        <v>90</v>
      </c>
      <c r="E3">
        <v>75</v>
      </c>
      <c r="F3" s="3">
        <f>MAX(E3-$F$1,0)</f>
        <v>0</v>
      </c>
      <c r="G3" s="3">
        <f>MAX($G$1-E3,0)</f>
        <v>20</v>
      </c>
      <c r="H3" s="2">
        <f>F3+G3</f>
        <v>20</v>
      </c>
      <c r="I3" s="3"/>
      <c r="J3" s="3"/>
      <c r="K3" s="3"/>
    </row>
    <row r="4" spans="2:11" x14ac:dyDescent="0.35">
      <c r="B4" t="s">
        <v>1</v>
      </c>
      <c r="C4">
        <v>0</v>
      </c>
      <c r="E4">
        <v>80</v>
      </c>
      <c r="F4" s="3">
        <f t="shared" ref="F4:F19" si="0">MAX(E4-$F$1,0)</f>
        <v>0</v>
      </c>
      <c r="G4" s="3">
        <f t="shared" ref="G4:G19" si="1">MAX($G$1-E4,0)</f>
        <v>15</v>
      </c>
      <c r="H4" s="2">
        <f t="shared" ref="H4:H19" si="2">F4+G4</f>
        <v>15</v>
      </c>
      <c r="I4" s="3"/>
      <c r="J4" s="3"/>
      <c r="K4" s="3"/>
    </row>
    <row r="5" spans="2:11" x14ac:dyDescent="0.35">
      <c r="B5" t="s">
        <v>2</v>
      </c>
      <c r="C5">
        <v>0</v>
      </c>
      <c r="E5">
        <v>85</v>
      </c>
      <c r="F5" s="3">
        <f t="shared" si="0"/>
        <v>0</v>
      </c>
      <c r="G5" s="3">
        <f t="shared" si="1"/>
        <v>10</v>
      </c>
      <c r="H5" s="2">
        <f t="shared" si="2"/>
        <v>10</v>
      </c>
      <c r="I5" s="3"/>
      <c r="J5" s="3"/>
      <c r="K5" s="3"/>
    </row>
    <row r="6" spans="2:11" x14ac:dyDescent="0.35">
      <c r="B6" t="s">
        <v>3</v>
      </c>
      <c r="C6">
        <v>0.2</v>
      </c>
      <c r="E6">
        <v>90</v>
      </c>
      <c r="F6" s="3">
        <f t="shared" si="0"/>
        <v>0</v>
      </c>
      <c r="G6" s="3">
        <f t="shared" si="1"/>
        <v>5</v>
      </c>
      <c r="H6" s="2">
        <f t="shared" si="2"/>
        <v>5</v>
      </c>
      <c r="I6" s="3"/>
      <c r="J6" s="3"/>
      <c r="K6" s="3"/>
    </row>
    <row r="7" spans="2:11" x14ac:dyDescent="0.35">
      <c r="B7" t="s">
        <v>11</v>
      </c>
      <c r="C7">
        <v>2</v>
      </c>
      <c r="E7">
        <v>95</v>
      </c>
      <c r="F7" s="3">
        <f t="shared" si="0"/>
        <v>0</v>
      </c>
      <c r="G7" s="3">
        <f t="shared" si="1"/>
        <v>0</v>
      </c>
      <c r="H7" s="2">
        <f t="shared" si="2"/>
        <v>0</v>
      </c>
      <c r="I7" s="3"/>
      <c r="J7" s="3"/>
      <c r="K7" s="3"/>
    </row>
    <row r="8" spans="2:11" x14ac:dyDescent="0.35">
      <c r="E8">
        <v>100</v>
      </c>
      <c r="F8" s="3">
        <f t="shared" si="0"/>
        <v>0</v>
      </c>
      <c r="G8" s="3">
        <f t="shared" si="1"/>
        <v>0</v>
      </c>
      <c r="H8" s="2">
        <f t="shared" si="2"/>
        <v>0</v>
      </c>
      <c r="I8" s="3"/>
      <c r="J8" s="3"/>
      <c r="K8" s="3"/>
    </row>
    <row r="9" spans="2:11" x14ac:dyDescent="0.35">
      <c r="B9" t="s">
        <v>12</v>
      </c>
      <c r="C9" s="1">
        <f>BlackPutPrice($C$3,$C$4,$C$5,$C$6,C7,$F$1)</f>
        <v>20.040026015296796</v>
      </c>
      <c r="E9">
        <v>105</v>
      </c>
      <c r="F9" s="3">
        <f t="shared" si="0"/>
        <v>0</v>
      </c>
      <c r="G9" s="3">
        <f t="shared" si="1"/>
        <v>0</v>
      </c>
      <c r="H9" s="2">
        <f t="shared" si="2"/>
        <v>0</v>
      </c>
      <c r="I9" s="3"/>
      <c r="J9" s="3"/>
      <c r="K9" s="3"/>
    </row>
    <row r="10" spans="2:11" x14ac:dyDescent="0.35">
      <c r="E10">
        <v>110</v>
      </c>
      <c r="F10" s="3">
        <f t="shared" si="0"/>
        <v>5</v>
      </c>
      <c r="G10" s="3">
        <f t="shared" si="1"/>
        <v>0</v>
      </c>
      <c r="H10" s="2">
        <f t="shared" si="2"/>
        <v>5</v>
      </c>
      <c r="I10" s="3"/>
      <c r="J10" s="3"/>
      <c r="K10" s="3"/>
    </row>
    <row r="11" spans="2:11" x14ac:dyDescent="0.35">
      <c r="E11">
        <v>115</v>
      </c>
      <c r="F11" s="3">
        <f t="shared" si="0"/>
        <v>10</v>
      </c>
      <c r="G11" s="3">
        <f t="shared" si="1"/>
        <v>0</v>
      </c>
      <c r="H11" s="2">
        <f t="shared" si="2"/>
        <v>10</v>
      </c>
      <c r="I11" s="3"/>
      <c r="J11" s="3"/>
      <c r="K11" s="3"/>
    </row>
    <row r="12" spans="2:11" x14ac:dyDescent="0.35">
      <c r="E12">
        <v>120</v>
      </c>
      <c r="F12" s="3">
        <f t="shared" si="0"/>
        <v>15</v>
      </c>
      <c r="G12" s="3">
        <f t="shared" si="1"/>
        <v>0</v>
      </c>
      <c r="H12" s="2">
        <f t="shared" si="2"/>
        <v>15</v>
      </c>
      <c r="I12" s="3"/>
      <c r="J12" s="3"/>
      <c r="K12" s="3"/>
    </row>
    <row r="13" spans="2:11" x14ac:dyDescent="0.35">
      <c r="E13">
        <v>125</v>
      </c>
      <c r="F13" s="3">
        <f t="shared" si="0"/>
        <v>20</v>
      </c>
      <c r="G13" s="3">
        <f t="shared" si="1"/>
        <v>0</v>
      </c>
      <c r="H13" s="2">
        <f t="shared" si="2"/>
        <v>20</v>
      </c>
      <c r="I13" s="3"/>
      <c r="J13" s="3"/>
      <c r="K13" s="3"/>
    </row>
    <row r="14" spans="2:11" x14ac:dyDescent="0.35">
      <c r="E14">
        <v>130</v>
      </c>
      <c r="F14" s="3">
        <f t="shared" si="0"/>
        <v>25</v>
      </c>
      <c r="G14" s="3">
        <f t="shared" si="1"/>
        <v>0</v>
      </c>
      <c r="H14" s="2">
        <f t="shared" si="2"/>
        <v>25</v>
      </c>
      <c r="I14" s="3"/>
      <c r="J14" s="3"/>
      <c r="K14" s="3"/>
    </row>
    <row r="15" spans="2:11" x14ac:dyDescent="0.35">
      <c r="E15">
        <v>135</v>
      </c>
      <c r="F15" s="3">
        <f t="shared" si="0"/>
        <v>30</v>
      </c>
      <c r="G15" s="3">
        <f t="shared" si="1"/>
        <v>0</v>
      </c>
      <c r="H15" s="2">
        <f t="shared" si="2"/>
        <v>30</v>
      </c>
      <c r="I15" s="3"/>
      <c r="J15" s="3"/>
      <c r="K15" s="3"/>
    </row>
    <row r="16" spans="2:11" x14ac:dyDescent="0.35">
      <c r="E16">
        <v>140</v>
      </c>
      <c r="F16" s="3">
        <f t="shared" si="0"/>
        <v>35</v>
      </c>
      <c r="G16" s="3">
        <f t="shared" si="1"/>
        <v>0</v>
      </c>
      <c r="H16" s="2">
        <f t="shared" si="2"/>
        <v>35</v>
      </c>
      <c r="I16" s="3"/>
      <c r="J16" s="3"/>
      <c r="K16" s="3"/>
    </row>
    <row r="17" spans="5:11" x14ac:dyDescent="0.35">
      <c r="E17">
        <v>145</v>
      </c>
      <c r="F17" s="3">
        <f t="shared" si="0"/>
        <v>40</v>
      </c>
      <c r="G17" s="3">
        <f t="shared" si="1"/>
        <v>0</v>
      </c>
      <c r="H17" s="2">
        <f t="shared" si="2"/>
        <v>40</v>
      </c>
      <c r="I17" s="3"/>
      <c r="J17" s="3"/>
      <c r="K17" s="3"/>
    </row>
    <row r="18" spans="5:11" x14ac:dyDescent="0.35">
      <c r="E18">
        <v>150</v>
      </c>
      <c r="F18" s="3">
        <f t="shared" si="0"/>
        <v>45</v>
      </c>
      <c r="G18" s="3">
        <f t="shared" si="1"/>
        <v>0</v>
      </c>
      <c r="H18" s="2">
        <f t="shared" si="2"/>
        <v>45</v>
      </c>
      <c r="I18" s="3"/>
      <c r="J18" s="3"/>
      <c r="K18" s="3"/>
    </row>
    <row r="19" spans="5:11" x14ac:dyDescent="0.35">
      <c r="E19">
        <v>155</v>
      </c>
      <c r="F19" s="3">
        <f t="shared" si="0"/>
        <v>50</v>
      </c>
      <c r="G19" s="3">
        <f t="shared" si="1"/>
        <v>0</v>
      </c>
      <c r="H19" s="2">
        <f t="shared" si="2"/>
        <v>50</v>
      </c>
      <c r="I19" s="3"/>
      <c r="J19" s="3"/>
      <c r="K19" s="3"/>
    </row>
    <row r="24" spans="5:11" x14ac:dyDescent="0.35">
      <c r="F24" s="3"/>
      <c r="G24" s="3"/>
    </row>
    <row r="25" spans="5:11" x14ac:dyDescent="0.35">
      <c r="F25" s="3"/>
      <c r="G25" s="3"/>
    </row>
    <row r="26" spans="5:11" x14ac:dyDescent="0.35">
      <c r="F26" s="3"/>
      <c r="G26" s="3"/>
    </row>
    <row r="27" spans="5:11" x14ac:dyDescent="0.35">
      <c r="F27" s="3"/>
      <c r="G27" s="3"/>
    </row>
    <row r="28" spans="5:11" x14ac:dyDescent="0.35">
      <c r="F28" s="3"/>
      <c r="G28" s="3"/>
    </row>
    <row r="29" spans="5:11" x14ac:dyDescent="0.35">
      <c r="F29" s="3"/>
      <c r="G29" s="3"/>
    </row>
    <row r="30" spans="5:11" x14ac:dyDescent="0.35">
      <c r="F30" s="3"/>
      <c r="G30" s="3"/>
    </row>
    <row r="31" spans="5:11" x14ac:dyDescent="0.35">
      <c r="F31" s="3"/>
      <c r="G31" s="3"/>
    </row>
    <row r="32" spans="5:11" x14ac:dyDescent="0.35">
      <c r="F32" s="3"/>
      <c r="G32" s="3"/>
    </row>
    <row r="33" spans="6:7" x14ac:dyDescent="0.35">
      <c r="F33" s="3"/>
      <c r="G33" s="3"/>
    </row>
    <row r="34" spans="6:7" x14ac:dyDescent="0.35">
      <c r="F34" s="3"/>
      <c r="G34" s="3"/>
    </row>
    <row r="35" spans="6:7" x14ac:dyDescent="0.35">
      <c r="F35" s="3"/>
      <c r="G35" s="3"/>
    </row>
    <row r="36" spans="6:7" x14ac:dyDescent="0.35">
      <c r="F36" s="3"/>
      <c r="G36" s="3"/>
    </row>
    <row r="37" spans="6:7" x14ac:dyDescent="0.35">
      <c r="F37" s="3"/>
      <c r="G37" s="3"/>
    </row>
    <row r="38" spans="6:7" x14ac:dyDescent="0.35">
      <c r="F38" s="3"/>
      <c r="G38" s="3"/>
    </row>
    <row r="39" spans="6:7" x14ac:dyDescent="0.35">
      <c r="F39" s="3"/>
      <c r="G39" s="3"/>
    </row>
    <row r="40" spans="6:7" x14ac:dyDescent="0.35">
      <c r="F40" s="3"/>
      <c r="G40" s="3"/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L19"/>
  <sheetViews>
    <sheetView workbookViewId="0">
      <selection activeCell="B3" sqref="B3:C6"/>
    </sheetView>
  </sheetViews>
  <sheetFormatPr defaultRowHeight="14.5" x14ac:dyDescent="0.35"/>
  <cols>
    <col min="6" max="6" width="9.81640625" bestFit="1" customWidth="1"/>
    <col min="7" max="8" width="11.81640625" bestFit="1" customWidth="1"/>
  </cols>
  <sheetData>
    <row r="1" spans="2:12" x14ac:dyDescent="0.35">
      <c r="E1" t="s">
        <v>5</v>
      </c>
    </row>
    <row r="2" spans="2:12" x14ac:dyDescent="0.35">
      <c r="F2">
        <v>0.1</v>
      </c>
      <c r="G2">
        <v>0.2</v>
      </c>
      <c r="H2">
        <v>0.5</v>
      </c>
      <c r="I2">
        <v>1</v>
      </c>
      <c r="J2">
        <v>2</v>
      </c>
      <c r="K2">
        <v>5</v>
      </c>
      <c r="L2">
        <v>10</v>
      </c>
    </row>
    <row r="3" spans="2:12" x14ac:dyDescent="0.35">
      <c r="B3" t="s">
        <v>1</v>
      </c>
      <c r="C3">
        <v>0</v>
      </c>
      <c r="E3">
        <v>10</v>
      </c>
      <c r="F3" s="2">
        <f t="shared" ref="F3:L12" si="0">BlackCallDelta($E3,$C$3,$C$4,$C$5,F$2,$C$6,$C$8)</f>
        <v>5.2050244341902374E-290</v>
      </c>
      <c r="G3" s="2">
        <f t="shared" si="0"/>
        <v>6.0025715719101411E-146</v>
      </c>
      <c r="H3" s="2">
        <f t="shared" si="0"/>
        <v>2.1074121738706775E-59</v>
      </c>
      <c r="I3" s="2">
        <f t="shared" si="0"/>
        <v>1.8020028663081354E-30</v>
      </c>
      <c r="J3" s="2">
        <f t="shared" si="0"/>
        <v>6.2489965559876438E-16</v>
      </c>
      <c r="K3" s="2">
        <f t="shared" si="0"/>
        <v>4.215214527733737E-7</v>
      </c>
      <c r="L3" s="2">
        <f t="shared" si="0"/>
        <v>4.4291962773878105E-4</v>
      </c>
    </row>
    <row r="4" spans="2:12" x14ac:dyDescent="0.35">
      <c r="B4" t="s">
        <v>2</v>
      </c>
      <c r="C4">
        <v>0</v>
      </c>
      <c r="E4">
        <v>20</v>
      </c>
      <c r="F4" s="2">
        <f t="shared" si="0"/>
        <v>8.4294878820242117E-143</v>
      </c>
      <c r="G4" s="2">
        <f t="shared" si="0"/>
        <v>2.4281364969634987E-72</v>
      </c>
      <c r="H4" s="2">
        <f t="shared" si="0"/>
        <v>5.8722557714026929E-30</v>
      </c>
      <c r="I4" s="2">
        <f t="shared" si="0"/>
        <v>9.5395176708178118E-16</v>
      </c>
      <c r="J4" s="2">
        <f t="shared" si="0"/>
        <v>1.4381771034952595E-8</v>
      </c>
      <c r="K4" s="2">
        <f t="shared" si="0"/>
        <v>3.6880257470292468E-4</v>
      </c>
      <c r="L4" s="2">
        <f t="shared" si="0"/>
        <v>1.2923029094023819E-2</v>
      </c>
    </row>
    <row r="5" spans="2:12" x14ac:dyDescent="0.35">
      <c r="B5" t="s">
        <v>3</v>
      </c>
      <c r="C5">
        <v>0.2</v>
      </c>
      <c r="E5">
        <v>30</v>
      </c>
      <c r="F5" s="2">
        <f t="shared" si="0"/>
        <v>7.7732002459270927E-81</v>
      </c>
      <c r="G5" s="2">
        <f t="shared" si="0"/>
        <v>2.4331657604483834E-41</v>
      </c>
      <c r="H5" s="2">
        <f t="shared" si="0"/>
        <v>1.5509465988538267E-17</v>
      </c>
      <c r="I5" s="2">
        <f t="shared" si="0"/>
        <v>1.6110395464149303E-9</v>
      </c>
      <c r="J5" s="2">
        <f t="shared" si="0"/>
        <v>1.9336715512962579E-5</v>
      </c>
      <c r="K5" s="2">
        <f t="shared" si="0"/>
        <v>6.7829288199171278E-3</v>
      </c>
      <c r="L5" s="2">
        <f t="shared" si="0"/>
        <v>5.6208732674978279E-2</v>
      </c>
    </row>
    <row r="6" spans="2:12" x14ac:dyDescent="0.35">
      <c r="B6" t="s">
        <v>0</v>
      </c>
      <c r="C6">
        <v>100</v>
      </c>
      <c r="E6">
        <v>40</v>
      </c>
      <c r="F6" s="2">
        <f t="shared" si="0"/>
        <v>1.1454128566350342E-47</v>
      </c>
      <c r="G6" s="2">
        <f t="shared" si="0"/>
        <v>9.9421996198360958E-25</v>
      </c>
      <c r="H6" s="2">
        <f t="shared" si="0"/>
        <v>7.3506503760916561E-11</v>
      </c>
      <c r="I6" s="2">
        <f t="shared" si="0"/>
        <v>3.7068165958527538E-6</v>
      </c>
      <c r="J6" s="2">
        <f t="shared" si="0"/>
        <v>9.7364580934570372E-4</v>
      </c>
      <c r="K6" s="2">
        <f t="shared" si="0"/>
        <v>3.3979275260997976E-2</v>
      </c>
      <c r="L6" s="2">
        <f t="shared" si="0"/>
        <v>0.12870056871339131</v>
      </c>
    </row>
    <row r="7" spans="2:12" x14ac:dyDescent="0.35">
      <c r="E7">
        <v>50</v>
      </c>
      <c r="F7" s="2">
        <f t="shared" si="0"/>
        <v>4.2348914453673795E-28</v>
      </c>
      <c r="G7" s="2">
        <f t="shared" si="0"/>
        <v>6.5473043583269023E-15</v>
      </c>
      <c r="H7" s="2">
        <f t="shared" si="0"/>
        <v>6.806793744588183E-7</v>
      </c>
      <c r="I7" s="2">
        <f t="shared" si="0"/>
        <v>3.8169879870480952E-4</v>
      </c>
      <c r="J7" s="2">
        <f t="shared" si="0"/>
        <v>1.0465577152847516E-2</v>
      </c>
      <c r="K7" s="2">
        <f t="shared" si="0"/>
        <v>9.2367290172035155E-2</v>
      </c>
      <c r="L7" s="2">
        <f t="shared" si="0"/>
        <v>0.21777368484965365</v>
      </c>
    </row>
    <row r="8" spans="2:12" x14ac:dyDescent="0.35">
      <c r="B8" t="s">
        <v>4</v>
      </c>
      <c r="C8">
        <v>1E-4</v>
      </c>
      <c r="E8">
        <v>60</v>
      </c>
      <c r="F8" s="2">
        <f t="shared" si="0"/>
        <v>4.3038453156046003E-16</v>
      </c>
      <c r="G8" s="2">
        <f t="shared" si="0"/>
        <v>7.2879254326155048E-9</v>
      </c>
      <c r="H8" s="2">
        <f t="shared" si="0"/>
        <v>1.9902600926238702E-4</v>
      </c>
      <c r="I8" s="2">
        <f t="shared" si="0"/>
        <v>7.0613327361399025E-3</v>
      </c>
      <c r="J8" s="2">
        <f t="shared" si="0"/>
        <v>4.7994300642895116E-2</v>
      </c>
      <c r="K8" s="2">
        <f t="shared" si="0"/>
        <v>0.17914351528869332</v>
      </c>
      <c r="L8" s="2">
        <f t="shared" si="0"/>
        <v>0.31155111164693494</v>
      </c>
    </row>
    <row r="9" spans="2:12" x14ac:dyDescent="0.35">
      <c r="E9">
        <v>70</v>
      </c>
      <c r="F9" s="2">
        <f t="shared" si="0"/>
        <v>1.0239621844767987E-8</v>
      </c>
      <c r="G9" s="2">
        <f t="shared" si="0"/>
        <v>4.0230007498019118E-5</v>
      </c>
      <c r="H9" s="2">
        <f t="shared" si="0"/>
        <v>7.1158365574572335E-3</v>
      </c>
      <c r="I9" s="2">
        <f t="shared" si="0"/>
        <v>4.6151286998280527E-2</v>
      </c>
      <c r="J9" s="2">
        <f t="shared" si="0"/>
        <v>0.13143893004219365</v>
      </c>
      <c r="K9" s="2">
        <f t="shared" si="0"/>
        <v>0.28300331454733652</v>
      </c>
      <c r="L9" s="2">
        <f t="shared" si="0"/>
        <v>0.40217365659955817</v>
      </c>
    </row>
    <row r="10" spans="2:12" x14ac:dyDescent="0.35">
      <c r="E10">
        <v>80</v>
      </c>
      <c r="F10" s="2">
        <f t="shared" si="0"/>
        <v>2.356257886642287E-4</v>
      </c>
      <c r="G10" s="2">
        <f t="shared" si="0"/>
        <v>7.1408393840198536E-3</v>
      </c>
      <c r="H10" s="2">
        <f t="shared" si="0"/>
        <v>6.588578555843938E-2</v>
      </c>
      <c r="I10" s="2">
        <f t="shared" si="0"/>
        <v>0.15488190495460685</v>
      </c>
      <c r="J10" s="2">
        <f t="shared" si="0"/>
        <v>0.25865088618903798</v>
      </c>
      <c r="K10" s="2">
        <f t="shared" si="0"/>
        <v>0.39152085324012376</v>
      </c>
      <c r="L10" s="2">
        <f t="shared" si="0"/>
        <v>0.48540469567370792</v>
      </c>
    </row>
    <row r="11" spans="2:12" x14ac:dyDescent="0.35">
      <c r="E11">
        <v>90</v>
      </c>
      <c r="F11" s="2">
        <f t="shared" si="0"/>
        <v>5.110074416031507E-2</v>
      </c>
      <c r="G11" s="2">
        <f t="shared" si="0"/>
        <v>0.12855568732428324</v>
      </c>
      <c r="H11" s="2">
        <f t="shared" si="0"/>
        <v>0.25006008822270331</v>
      </c>
      <c r="I11" s="2">
        <f t="shared" si="0"/>
        <v>0.33476156420020331</v>
      </c>
      <c r="J11" s="2">
        <f t="shared" si="0"/>
        <v>0.40862464854019009</v>
      </c>
      <c r="K11" s="2">
        <f t="shared" si="0"/>
        <v>0.49521820190356891</v>
      </c>
      <c r="L11" s="2">
        <f t="shared" si="0"/>
        <v>0.55947495150476811</v>
      </c>
    </row>
    <row r="12" spans="2:12" x14ac:dyDescent="0.35">
      <c r="E12">
        <v>100</v>
      </c>
      <c r="F12" s="2">
        <f t="shared" si="0"/>
        <v>0.51261356035503525</v>
      </c>
      <c r="G12" s="2">
        <f t="shared" si="0"/>
        <v>0.51783529585014421</v>
      </c>
      <c r="H12" s="2">
        <f t="shared" si="0"/>
        <v>0.52818598885728818</v>
      </c>
      <c r="I12" s="2">
        <f t="shared" si="0"/>
        <v>0.53982783724038086</v>
      </c>
      <c r="J12" s="2">
        <f t="shared" si="0"/>
        <v>0.55623145800431928</v>
      </c>
      <c r="K12" s="2">
        <f t="shared" si="0"/>
        <v>0.58846836317627549</v>
      </c>
      <c r="L12" s="2">
        <f t="shared" si="0"/>
        <v>0.62408518299861271</v>
      </c>
    </row>
    <row r="13" spans="2:12" x14ac:dyDescent="0.35">
      <c r="E13">
        <v>110</v>
      </c>
      <c r="F13" s="2">
        <f t="shared" ref="F13:L19" si="1">BlackCallDelta($E13,$C$3,$C$4,$C$5,F$2,$C$6,$C$8)</f>
        <v>0.93805011472269939</v>
      </c>
      <c r="G13" s="2">
        <f t="shared" si="1"/>
        <v>0.86656975812005044</v>
      </c>
      <c r="H13" s="2">
        <f t="shared" si="1"/>
        <v>0.77175997303058352</v>
      </c>
      <c r="I13" s="2">
        <f t="shared" si="1"/>
        <v>0.71787856181337872</v>
      </c>
      <c r="J13" s="2">
        <f t="shared" si="1"/>
        <v>0.683815001831789</v>
      </c>
      <c r="K13" s="2">
        <f t="shared" si="1"/>
        <v>0.66884526862764915</v>
      </c>
      <c r="L13" s="2">
        <f t="shared" si="1"/>
        <v>0.67972372905344969</v>
      </c>
    </row>
    <row r="14" spans="2:12" x14ac:dyDescent="0.35">
      <c r="E14">
        <v>120</v>
      </c>
      <c r="F14" s="2">
        <f t="shared" si="1"/>
        <v>0.99821801937238774</v>
      </c>
      <c r="G14" s="2">
        <f t="shared" si="1"/>
        <v>0.98138069196451738</v>
      </c>
      <c r="H14" s="2">
        <f t="shared" si="1"/>
        <v>0.91307218472280738</v>
      </c>
      <c r="I14" s="2">
        <f t="shared" si="1"/>
        <v>0.84413718868248111</v>
      </c>
      <c r="J14" s="2">
        <f t="shared" si="1"/>
        <v>0.78407369729305287</v>
      </c>
      <c r="K14" s="2">
        <f t="shared" si="1"/>
        <v>0.73607460082669718</v>
      </c>
      <c r="L14" s="2">
        <f t="shared" si="1"/>
        <v>0.72724551493763556</v>
      </c>
    </row>
    <row r="15" spans="2:12" x14ac:dyDescent="0.35">
      <c r="E15">
        <v>130</v>
      </c>
      <c r="F15" s="2">
        <f t="shared" si="1"/>
        <v>0.99998542244961186</v>
      </c>
      <c r="G15" s="2">
        <f t="shared" si="1"/>
        <v>0.99854952367195438</v>
      </c>
      <c r="H15" s="2">
        <f t="shared" si="1"/>
        <v>0.97294195548158768</v>
      </c>
      <c r="I15" s="2">
        <f t="shared" si="1"/>
        <v>0.92099871078943352</v>
      </c>
      <c r="J15" s="2">
        <f t="shared" si="1"/>
        <v>0.85746947046771993</v>
      </c>
      <c r="K15" s="2">
        <f t="shared" si="1"/>
        <v>0.79110781729951896</v>
      </c>
      <c r="L15" s="2">
        <f t="shared" si="1"/>
        <v>0.7676293862601824</v>
      </c>
    </row>
    <row r="16" spans="2:12" x14ac:dyDescent="0.35">
      <c r="E16">
        <v>140</v>
      </c>
      <c r="F16" s="2">
        <f t="shared" si="1"/>
        <v>0.99999995647692685</v>
      </c>
      <c r="G16" s="2">
        <f t="shared" si="1"/>
        <v>0.99992955352234958</v>
      </c>
      <c r="H16" s="2">
        <f t="shared" si="1"/>
        <v>0.99285577437768779</v>
      </c>
      <c r="I16" s="2">
        <f t="shared" si="1"/>
        <v>0.96265482447677186</v>
      </c>
      <c r="J16" s="2">
        <f t="shared" si="1"/>
        <v>0.90841048876910691</v>
      </c>
      <c r="K16" s="2">
        <f t="shared" si="1"/>
        <v>0.83546320666982865</v>
      </c>
      <c r="L16" s="2">
        <f t="shared" si="1"/>
        <v>0.8018470259685273</v>
      </c>
    </row>
    <row r="17" spans="5:12" x14ac:dyDescent="0.35">
      <c r="E17">
        <v>150</v>
      </c>
      <c r="F17" s="2">
        <f t="shared" si="1"/>
        <v>0.99999999989108801</v>
      </c>
      <c r="G17" s="2">
        <f t="shared" si="1"/>
        <v>0.99999765243552474</v>
      </c>
      <c r="H17" s="2">
        <f t="shared" si="1"/>
        <v>0.99834715285851416</v>
      </c>
      <c r="I17" s="2">
        <f t="shared" si="1"/>
        <v>0.98330347803710083</v>
      </c>
      <c r="J17" s="2">
        <f t="shared" si="1"/>
        <v>0.94236681420056811</v>
      </c>
      <c r="K17" s="2">
        <f t="shared" si="1"/>
        <v>0.87081546631395668</v>
      </c>
      <c r="L17" s="2">
        <f t="shared" si="1"/>
        <v>0.83079822644549495</v>
      </c>
    </row>
    <row r="18" spans="5:12" x14ac:dyDescent="0.35">
      <c r="E18">
        <v>160</v>
      </c>
      <c r="F18" s="2">
        <f t="shared" si="1"/>
        <v>1.0000000000331966</v>
      </c>
      <c r="G18" s="2">
        <f t="shared" si="1"/>
        <v>0.99999994191080077</v>
      </c>
      <c r="H18" s="2">
        <f t="shared" si="1"/>
        <v>0.99965577536664796</v>
      </c>
      <c r="I18" s="2">
        <f t="shared" si="1"/>
        <v>0.99285754920686031</v>
      </c>
      <c r="J18" s="2">
        <f t="shared" si="1"/>
        <v>0.96431650199235719</v>
      </c>
      <c r="K18" s="2">
        <f t="shared" si="1"/>
        <v>0.8987687037631531</v>
      </c>
      <c r="L18" s="2">
        <f t="shared" si="1"/>
        <v>0.85528406302159965</v>
      </c>
    </row>
    <row r="19" spans="5:12" x14ac:dyDescent="0.35">
      <c r="E19">
        <v>170</v>
      </c>
      <c r="F19" s="2">
        <f t="shared" si="1"/>
        <v>1.0000000000331966</v>
      </c>
      <c r="G19" s="2">
        <f t="shared" si="1"/>
        <v>0.99999999889632818</v>
      </c>
      <c r="H19" s="2">
        <f t="shared" si="1"/>
        <v>0.99993403274822867</v>
      </c>
      <c r="I19" s="2">
        <f t="shared" si="1"/>
        <v>0.99704867885463955</v>
      </c>
      <c r="J19" s="2">
        <f t="shared" si="1"/>
        <v>0.97817704386216064</v>
      </c>
      <c r="K19" s="2">
        <f t="shared" si="1"/>
        <v>0.92074900116756453</v>
      </c>
      <c r="L19" s="2">
        <f t="shared" si="1"/>
        <v>0.87600078849447982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L19"/>
  <sheetViews>
    <sheetView workbookViewId="0">
      <selection activeCell="C3" sqref="C3:C5"/>
    </sheetView>
  </sheetViews>
  <sheetFormatPr defaultRowHeight="14.5" x14ac:dyDescent="0.35"/>
  <cols>
    <col min="6" max="6" width="9.81640625" bestFit="1" customWidth="1"/>
    <col min="7" max="8" width="11.81640625" bestFit="1" customWidth="1"/>
  </cols>
  <sheetData>
    <row r="1" spans="2:12" x14ac:dyDescent="0.35">
      <c r="E1" t="s">
        <v>5</v>
      </c>
    </row>
    <row r="2" spans="2:12" x14ac:dyDescent="0.35">
      <c r="F2">
        <v>0.1</v>
      </c>
      <c r="G2">
        <v>0.2</v>
      </c>
      <c r="H2">
        <v>0.5</v>
      </c>
      <c r="I2">
        <v>1</v>
      </c>
      <c r="J2">
        <v>2</v>
      </c>
      <c r="K2">
        <v>5</v>
      </c>
      <c r="L2">
        <v>10</v>
      </c>
    </row>
    <row r="3" spans="2:12" x14ac:dyDescent="0.35">
      <c r="B3" t="s">
        <v>1</v>
      </c>
      <c r="C3">
        <v>0</v>
      </c>
      <c r="E3">
        <v>10</v>
      </c>
      <c r="F3" s="1">
        <f>BlackCallGamma($E3,$C$3,$C$4,$C$5,F$2,$C$6,$C$8)</f>
        <v>2.9959237042558384E-288</v>
      </c>
      <c r="G3" s="1">
        <f t="shared" ref="G3:L18" si="0">BlackCallGamma($E3,$C$3,$C$4,$C$5,G$2,$C$6,$C$8)</f>
        <v>1.7272862335516322E-144</v>
      </c>
      <c r="H3" s="1">
        <f>BlackCallGamma($E3,$C$3,$C$4,$C$5,H$2,$C$6,$C$8)</f>
        <v>2.4248338490943682E-58</v>
      </c>
      <c r="I3" s="1">
        <f t="shared" si="0"/>
        <v>1.0360843022560068E-29</v>
      </c>
      <c r="J3" s="1">
        <f t="shared" si="0"/>
        <v>1.7941796862956681E-15</v>
      </c>
      <c r="K3" s="1">
        <f t="shared" si="0"/>
        <v>4.820311732491252E-7</v>
      </c>
      <c r="L3" s="1">
        <f t="shared" si="0"/>
        <v>2.5115037274262703E-4</v>
      </c>
    </row>
    <row r="4" spans="2:12" x14ac:dyDescent="0.35">
      <c r="B4" t="s">
        <v>2</v>
      </c>
      <c r="C4">
        <v>0</v>
      </c>
      <c r="E4">
        <v>20</v>
      </c>
      <c r="F4" s="1">
        <f t="shared" ref="F4:L19" si="1">BlackCallGamma($E4,$C$3,$C$4,$C$5,F$2,$C$6,$C$8)</f>
        <v>1.6963420968769406E-141</v>
      </c>
      <c r="G4" s="1">
        <f t="shared" si="0"/>
        <v>2.4439003926470415E-71</v>
      </c>
      <c r="H4" s="1">
        <f t="shared" si="0"/>
        <v>2.366156075962734E-29</v>
      </c>
      <c r="I4" s="1">
        <f t="shared" si="0"/>
        <v>1.9244275045590552E-15</v>
      </c>
      <c r="J4" s="1">
        <f t="shared" si="0"/>
        <v>1.4539401107011728E-8</v>
      </c>
      <c r="K4" s="1">
        <f t="shared" si="0"/>
        <v>1.4983728233858296E-4</v>
      </c>
      <c r="L4" s="1">
        <f t="shared" si="0"/>
        <v>2.6328980662349011E-3</v>
      </c>
    </row>
    <row r="5" spans="2:12" x14ac:dyDescent="0.35">
      <c r="B5" t="s">
        <v>3</v>
      </c>
      <c r="C5">
        <v>0.2</v>
      </c>
      <c r="E5">
        <v>30</v>
      </c>
      <c r="F5" s="1">
        <f t="shared" si="1"/>
        <v>7.8074067314318134E-80</v>
      </c>
      <c r="G5" s="1">
        <f t="shared" si="0"/>
        <v>1.223239993023149E-40</v>
      </c>
      <c r="H5" s="1">
        <f t="shared" ref="H5:H15" si="2">BlackCallGamma($E5,$C$3,$C$4,$C$5,H$2,$C$6,$C$8)</f>
        <v>3.1284833750017458E-17</v>
      </c>
      <c r="I5" s="1">
        <f t="shared" si="0"/>
        <v>1.6326128063251733E-9</v>
      </c>
      <c r="J5" s="1">
        <f t="shared" si="0"/>
        <v>9.8802410548296145E-6</v>
      </c>
      <c r="K5" s="1">
        <f t="shared" si="0"/>
        <v>1.4126331181196772E-3</v>
      </c>
      <c r="L5" s="1">
        <f t="shared" si="0"/>
        <v>5.9644011951576204E-3</v>
      </c>
    </row>
    <row r="6" spans="2:12" x14ac:dyDescent="0.35">
      <c r="B6" t="s">
        <v>0</v>
      </c>
      <c r="C6">
        <v>100</v>
      </c>
      <c r="E6">
        <v>40</v>
      </c>
      <c r="F6" s="1">
        <f t="shared" si="1"/>
        <v>6.5762916824530285E-47</v>
      </c>
      <c r="G6" s="1">
        <f t="shared" si="0"/>
        <v>2.8611927162059217E-24</v>
      </c>
      <c r="H6" s="1">
        <f t="shared" si="2"/>
        <v>8.5212691610568368E-11</v>
      </c>
      <c r="I6" s="1">
        <f t="shared" si="0"/>
        <v>2.1715031726568914E-6</v>
      </c>
      <c r="J6" s="1">
        <f t="shared" si="0"/>
        <v>2.9040669608654257E-4</v>
      </c>
      <c r="K6" s="1">
        <f t="shared" si="0"/>
        <v>4.2157506652262811E-3</v>
      </c>
      <c r="L6" s="1">
        <f t="shared" si="0"/>
        <v>8.3040019305258284E-3</v>
      </c>
    </row>
    <row r="7" spans="2:12" x14ac:dyDescent="0.35">
      <c r="E7">
        <v>50</v>
      </c>
      <c r="F7" s="1">
        <f t="shared" si="1"/>
        <v>1.4755245153049012E-27</v>
      </c>
      <c r="G7" s="1">
        <f t="shared" si="0"/>
        <v>1.1464241189475651E-14</v>
      </c>
      <c r="H7" s="1">
        <f t="shared" si="2"/>
        <v>4.8350221404513277E-7</v>
      </c>
      <c r="I7" s="1">
        <f t="shared" si="0"/>
        <v>1.383647374193081E-4</v>
      </c>
      <c r="J7" s="1">
        <f t="shared" si="0"/>
        <v>1.9608949880511872E-3</v>
      </c>
      <c r="K7" s="1">
        <f t="shared" si="0"/>
        <v>7.4033862373923398E-3</v>
      </c>
      <c r="L7" s="1">
        <f t="shared" si="0"/>
        <v>9.3085650298974087E-3</v>
      </c>
    </row>
    <row r="8" spans="2:12" x14ac:dyDescent="0.35">
      <c r="B8" t="s">
        <v>4</v>
      </c>
      <c r="C8">
        <v>1E-4</v>
      </c>
      <c r="E8">
        <v>60</v>
      </c>
      <c r="F8" s="1">
        <f t="shared" si="1"/>
        <v>9.2615444267124894E-16</v>
      </c>
      <c r="G8" s="1">
        <f t="shared" si="0"/>
        <v>7.9218290068888112E-9</v>
      </c>
      <c r="H8" s="1">
        <f t="shared" si="2"/>
        <v>8.8907711488089847E-5</v>
      </c>
      <c r="I8" s="1">
        <f t="shared" si="0"/>
        <v>1.6364831365023313E-3</v>
      </c>
      <c r="J8" s="1">
        <f t="shared" si="0"/>
        <v>5.8816951309381693E-3</v>
      </c>
      <c r="K8" s="1">
        <f t="shared" si="0"/>
        <v>9.7499230911068935E-3</v>
      </c>
      <c r="L8" s="1">
        <f t="shared" si="0"/>
        <v>9.3169028048123437E-3</v>
      </c>
    </row>
    <row r="9" spans="2:12" x14ac:dyDescent="0.35">
      <c r="E9">
        <v>70</v>
      </c>
      <c r="F9" s="1">
        <f t="shared" si="1"/>
        <v>1.3360382157400445E-8</v>
      </c>
      <c r="G9" s="1">
        <f t="shared" si="0"/>
        <v>2.6802878526929839E-5</v>
      </c>
      <c r="H9" s="1">
        <f t="shared" si="2"/>
        <v>1.9971889593517478E-3</v>
      </c>
      <c r="I9" s="1">
        <f t="shared" si="0"/>
        <v>6.9093744614612262E-3</v>
      </c>
      <c r="J9" s="1">
        <f t="shared" si="0"/>
        <v>1.076609357220093E-2</v>
      </c>
      <c r="K9" s="1">
        <f t="shared" si="0"/>
        <v>1.0808798300843137E-2</v>
      </c>
      <c r="L9" s="1">
        <f t="shared" si="0"/>
        <v>8.7386542446665771E-3</v>
      </c>
    </row>
    <row r="10" spans="2:12" x14ac:dyDescent="0.35">
      <c r="E10">
        <v>80</v>
      </c>
      <c r="F10" s="1">
        <f t="shared" si="1"/>
        <v>1.7454937641754251E-4</v>
      </c>
      <c r="G10" s="1">
        <f t="shared" si="0"/>
        <v>2.7716661431254064E-3</v>
      </c>
      <c r="H10" s="1">
        <f t="shared" si="2"/>
        <v>1.1325369808634633E-2</v>
      </c>
      <c r="I10" s="1">
        <f t="shared" si="0"/>
        <v>1.4885204180359324E-2</v>
      </c>
      <c r="J10" s="1">
        <f t="shared" si="0"/>
        <v>1.4296330785867895E-2</v>
      </c>
      <c r="K10" s="1">
        <f t="shared" si="0"/>
        <v>1.0735656807980831E-2</v>
      </c>
      <c r="L10" s="1">
        <f t="shared" si="0"/>
        <v>7.879563668211631E-3</v>
      </c>
    </row>
    <row r="11" spans="2:12" x14ac:dyDescent="0.35">
      <c r="E11">
        <v>90</v>
      </c>
      <c r="F11" s="1">
        <f t="shared" si="1"/>
        <v>1.84361505228825E-2</v>
      </c>
      <c r="G11" s="1">
        <f t="shared" si="0"/>
        <v>2.6076454884282896E-2</v>
      </c>
      <c r="H11" s="1">
        <f t="shared" si="2"/>
        <v>2.4969981637923411E-2</v>
      </c>
      <c r="I11" s="1">
        <f t="shared" si="0"/>
        <v>2.0234169895161358E-2</v>
      </c>
      <c r="J11" s="1">
        <f t="shared" si="0"/>
        <v>1.5259216112895047E-2</v>
      </c>
      <c r="K11" s="1">
        <f t="shared" si="0"/>
        <v>9.9111385765127125E-3</v>
      </c>
      <c r="L11" s="1">
        <f t="shared" si="0"/>
        <v>6.9308114802879572E-3</v>
      </c>
    </row>
    <row r="12" spans="2:12" x14ac:dyDescent="0.35">
      <c r="E12">
        <v>100</v>
      </c>
      <c r="F12" s="1">
        <f t="shared" si="1"/>
        <v>6.3046767806440585E-2</v>
      </c>
      <c r="G12" s="1">
        <f t="shared" si="0"/>
        <v>4.4557957323831943E-2</v>
      </c>
      <c r="H12" s="1">
        <f t="shared" si="2"/>
        <v>2.813920207955789E-2</v>
      </c>
      <c r="I12" s="1">
        <f t="shared" si="0"/>
        <v>1.9847501420144908E-2</v>
      </c>
      <c r="J12" s="1">
        <f t="shared" si="0"/>
        <v>1.3963985523446354E-2</v>
      </c>
      <c r="K12" s="1">
        <f t="shared" si="0"/>
        <v>8.7003293458565167E-3</v>
      </c>
      <c r="L12" s="1">
        <f t="shared" si="0"/>
        <v>6.000089314284196E-3</v>
      </c>
    </row>
    <row r="13" spans="2:12" x14ac:dyDescent="0.35">
      <c r="E13">
        <v>110</v>
      </c>
      <c r="F13" s="1">
        <f t="shared" si="1"/>
        <v>1.755648959544942E-2</v>
      </c>
      <c r="G13" s="1">
        <f t="shared" si="0"/>
        <v>2.1891510826321792E-2</v>
      </c>
      <c r="H13" s="1">
        <f t="shared" si="2"/>
        <v>1.943458727282632E-2</v>
      </c>
      <c r="I13" s="1">
        <f t="shared" si="0"/>
        <v>1.535673810337812E-2</v>
      </c>
      <c r="J13" s="1">
        <f t="shared" si="0"/>
        <v>1.1436540603426693E-2</v>
      </c>
      <c r="K13" s="1">
        <f t="shared" si="0"/>
        <v>7.3719697013530094E-3</v>
      </c>
      <c r="L13" s="1">
        <f t="shared" si="0"/>
        <v>5.142108960853875E-3</v>
      </c>
    </row>
    <row r="14" spans="2:12" x14ac:dyDescent="0.35">
      <c r="E14">
        <v>120</v>
      </c>
      <c r="F14" s="1">
        <f t="shared" si="1"/>
        <v>7.5148776090827596E-4</v>
      </c>
      <c r="G14" s="1">
        <f t="shared" si="0"/>
        <v>4.2454040283246286E-3</v>
      </c>
      <c r="H14" s="1">
        <f t="shared" si="2"/>
        <v>9.3249852284316148E-3</v>
      </c>
      <c r="I14" s="1">
        <f t="shared" si="0"/>
        <v>9.9654506868773751E-3</v>
      </c>
      <c r="J14" s="1">
        <f t="shared" si="0"/>
        <v>8.6298079793323268E-3</v>
      </c>
      <c r="K14" s="1">
        <f t="shared" si="0"/>
        <v>6.0899729703578487E-3</v>
      </c>
      <c r="L14" s="1">
        <f t="shared" si="0"/>
        <v>4.3787196091216174E-3</v>
      </c>
    </row>
    <row r="15" spans="2:12" x14ac:dyDescent="0.35">
      <c r="E15">
        <v>130</v>
      </c>
      <c r="F15" s="1">
        <f t="shared" si="1"/>
        <v>7.9047879353311146E-6</v>
      </c>
      <c r="G15" s="1">
        <f t="shared" si="0"/>
        <v>4.0696335190659738E-4</v>
      </c>
      <c r="H15" s="1">
        <f t="shared" si="2"/>
        <v>3.3966607304591889E-3</v>
      </c>
      <c r="I15" s="1">
        <f t="shared" si="0"/>
        <v>5.6638249645857286E-3</v>
      </c>
      <c r="J15" s="1">
        <f t="shared" si="0"/>
        <v>6.127365281827224E-3</v>
      </c>
      <c r="K15" s="1">
        <f t="shared" si="0"/>
        <v>4.9418247272114968E-3</v>
      </c>
      <c r="L15" s="1">
        <f t="shared" si="0"/>
        <v>3.7143621511859237E-3</v>
      </c>
    </row>
    <row r="16" spans="2:12" x14ac:dyDescent="0.35">
      <c r="E16">
        <v>140</v>
      </c>
      <c r="F16" s="1">
        <f t="shared" si="1"/>
        <v>-3.5527136788005009E-7</v>
      </c>
      <c r="G16" s="1">
        <f t="shared" si="0"/>
        <v>2.2915003228263231E-5</v>
      </c>
      <c r="H16" s="1">
        <f t="shared" si="0"/>
        <v>1.0018652574217413E-3</v>
      </c>
      <c r="I16" s="1">
        <f t="shared" si="0"/>
        <v>2.9103830456733704E-3</v>
      </c>
      <c r="J16" s="1">
        <f t="shared" si="0"/>
        <v>4.1548986473571858E-3</v>
      </c>
      <c r="K16" s="1">
        <f t="shared" si="0"/>
        <v>3.957367766815878E-3</v>
      </c>
      <c r="L16" s="1">
        <f t="shared" si="0"/>
        <v>3.1437963343705633E-3</v>
      </c>
    </row>
    <row r="17" spans="5:12" x14ac:dyDescent="0.35">
      <c r="E17">
        <v>150</v>
      </c>
      <c r="F17" s="1">
        <f t="shared" si="1"/>
        <v>7.1054273576010019E-7</v>
      </c>
      <c r="G17" s="1">
        <f t="shared" si="0"/>
        <v>1.4210854715202004E-6</v>
      </c>
      <c r="H17" s="1">
        <f t="shared" si="0"/>
        <v>2.5188739982695552E-4</v>
      </c>
      <c r="I17" s="1">
        <f t="shared" si="0"/>
        <v>1.383249070840975E-3</v>
      </c>
      <c r="J17" s="1">
        <f t="shared" si="0"/>
        <v>2.7201352281736035E-3</v>
      </c>
      <c r="K17" s="1">
        <f t="shared" si="0"/>
        <v>3.1391778065881226E-3</v>
      </c>
      <c r="L17" s="1">
        <f t="shared" si="0"/>
        <v>2.6590285528982349E-3</v>
      </c>
    </row>
    <row r="18" spans="5:12" x14ac:dyDescent="0.35">
      <c r="E18">
        <v>160</v>
      </c>
      <c r="F18" s="1">
        <f t="shared" si="1"/>
        <v>0</v>
      </c>
      <c r="G18" s="1">
        <f t="shared" si="0"/>
        <v>1.7763568394002505E-7</v>
      </c>
      <c r="H18" s="1">
        <f t="shared" si="0"/>
        <v>5.5422333389287814E-5</v>
      </c>
      <c r="I18" s="1">
        <f t="shared" si="0"/>
        <v>6.1923799421492731E-4</v>
      </c>
      <c r="J18" s="1">
        <f t="shared" si="0"/>
        <v>1.7351453607261647E-3</v>
      </c>
      <c r="K18" s="1">
        <f t="shared" si="0"/>
        <v>2.4741098059166688E-3</v>
      </c>
      <c r="L18" s="1">
        <f t="shared" si="0"/>
        <v>2.248512487312837E-3</v>
      </c>
    </row>
    <row r="19" spans="5:12" x14ac:dyDescent="0.35">
      <c r="E19">
        <v>170</v>
      </c>
      <c r="F19" s="1">
        <f t="shared" si="1"/>
        <v>0</v>
      </c>
      <c r="G19" s="1">
        <f t="shared" si="1"/>
        <v>-7.1054273576010019E-7</v>
      </c>
      <c r="H19" s="1">
        <f t="shared" si="1"/>
        <v>1.0658141036401503E-5</v>
      </c>
      <c r="I19" s="1">
        <f t="shared" si="1"/>
        <v>2.6574298317427747E-4</v>
      </c>
      <c r="J19" s="1">
        <f t="shared" si="1"/>
        <v>1.0835776720341528E-3</v>
      </c>
      <c r="K19" s="1">
        <f t="shared" si="1"/>
        <v>1.9408474827287137E-3</v>
      </c>
      <c r="L19" s="1">
        <f t="shared" si="1"/>
        <v>1.9031887177334283E-3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L19"/>
  <sheetViews>
    <sheetView workbookViewId="0">
      <selection activeCell="C3" sqref="C3:C5"/>
    </sheetView>
  </sheetViews>
  <sheetFormatPr defaultRowHeight="14.5" x14ac:dyDescent="0.35"/>
  <cols>
    <col min="6" max="6" width="9.81640625" bestFit="1" customWidth="1"/>
    <col min="7" max="8" width="11.81640625" bestFit="1" customWidth="1"/>
  </cols>
  <sheetData>
    <row r="1" spans="2:12" x14ac:dyDescent="0.35">
      <c r="E1" t="s">
        <v>5</v>
      </c>
    </row>
    <row r="2" spans="2:12" x14ac:dyDescent="0.35">
      <c r="F2">
        <v>0.1</v>
      </c>
      <c r="G2">
        <v>0.2</v>
      </c>
      <c r="H2">
        <v>0.5</v>
      </c>
      <c r="I2">
        <v>1</v>
      </c>
      <c r="J2">
        <v>2</v>
      </c>
      <c r="K2">
        <v>5</v>
      </c>
      <c r="L2">
        <v>10</v>
      </c>
    </row>
    <row r="3" spans="2:12" x14ac:dyDescent="0.35">
      <c r="B3" t="s">
        <v>1</v>
      </c>
      <c r="C3">
        <v>0</v>
      </c>
      <c r="E3">
        <v>10</v>
      </c>
      <c r="F3" s="2">
        <f>BlackCallVega($E3,$C$3,$C$4,$C$5,F$2,$C$6,$C$8)</f>
        <v>6.4390120236590459E-288</v>
      </c>
      <c r="G3" s="2">
        <f t="shared" ref="G3:L18" si="0">BlackCallVega($E3,$C$3,$C$4,$C$5,G$2,$C$6,$C$8)</f>
        <v>7.0356623610886309E-144</v>
      </c>
      <c r="H3" s="2">
        <f t="shared" si="0"/>
        <v>2.4318594172176612E-57</v>
      </c>
      <c r="I3" s="2">
        <f t="shared" si="0"/>
        <v>2.0736504738480499E-28</v>
      </c>
      <c r="J3" s="2">
        <f t="shared" si="0"/>
        <v>7.177961386996565E-14</v>
      </c>
      <c r="K3" s="2">
        <f t="shared" si="0"/>
        <v>4.8204346787435398E-5</v>
      </c>
      <c r="L3" s="2">
        <f t="shared" si="0"/>
        <v>5.02303709592496E-2</v>
      </c>
    </row>
    <row r="4" spans="2:12" x14ac:dyDescent="0.35">
      <c r="B4" t="s">
        <v>2</v>
      </c>
      <c r="C4">
        <v>0</v>
      </c>
      <c r="E4">
        <v>20</v>
      </c>
      <c r="F4" s="2">
        <f t="shared" ref="F4:L19" si="1">BlackCallVega($E4,$C$3,$C$4,$C$5,F$2,$C$6,$C$8)</f>
        <v>1.3808014407940044E-140</v>
      </c>
      <c r="G4" s="2">
        <f t="shared" si="0"/>
        <v>3.9271908865536388E-70</v>
      </c>
      <c r="H4" s="2">
        <f t="shared" si="0"/>
        <v>9.4710940455943906E-28</v>
      </c>
      <c r="I4" s="2">
        <f t="shared" si="0"/>
        <v>1.5398046440767393E-13</v>
      </c>
      <c r="J4" s="2">
        <f t="shared" si="0"/>
        <v>2.326398729315357E-6</v>
      </c>
      <c r="K4" s="2">
        <f t="shared" si="0"/>
        <v>5.9935336801906783E-2</v>
      </c>
      <c r="L4" s="2">
        <f t="shared" si="0"/>
        <v>2.1063216465368879</v>
      </c>
    </row>
    <row r="5" spans="2:12" x14ac:dyDescent="0.35">
      <c r="B5" t="s">
        <v>3</v>
      </c>
      <c r="C5">
        <v>0.2</v>
      </c>
      <c r="E5">
        <v>30</v>
      </c>
      <c r="F5" s="2">
        <f t="shared" si="1"/>
        <v>1.4129731924049007E-78</v>
      </c>
      <c r="G5" s="2">
        <f t="shared" si="0"/>
        <v>4.4095944032579066E-39</v>
      </c>
      <c r="H5" s="2">
        <f t="shared" si="0"/>
        <v>2.8162183937582191E-15</v>
      </c>
      <c r="I5" s="2">
        <f t="shared" si="0"/>
        <v>2.9388244062587311E-7</v>
      </c>
      <c r="J5" s="2">
        <f t="shared" si="0"/>
        <v>3.5569192600895692E-3</v>
      </c>
      <c r="K5" s="2">
        <f t="shared" si="0"/>
        <v>1.2713625171685039</v>
      </c>
      <c r="L5" s="2">
        <f t="shared" si="0"/>
        <v>10.735969243507725</v>
      </c>
    </row>
    <row r="6" spans="2:12" x14ac:dyDescent="0.35">
      <c r="B6" t="s">
        <v>0</v>
      </c>
      <c r="C6">
        <v>100</v>
      </c>
      <c r="E6">
        <v>40</v>
      </c>
      <c r="F6" s="2">
        <f t="shared" si="1"/>
        <v>2.108218959550063E-45</v>
      </c>
      <c r="G6" s="2">
        <f t="shared" si="0"/>
        <v>1.8319684355642449E-22</v>
      </c>
      <c r="H6" s="2">
        <f t="shared" si="0"/>
        <v>1.3634850640877672E-8</v>
      </c>
      <c r="I6" s="2">
        <f t="shared" si="0"/>
        <v>6.9489012783967828E-4</v>
      </c>
      <c r="J6" s="2">
        <f t="shared" si="0"/>
        <v>0.18585912735638588</v>
      </c>
      <c r="K6" s="2">
        <f t="shared" si="0"/>
        <v>6.7452170587713187</v>
      </c>
      <c r="L6" s="2">
        <f t="shared" si="0"/>
        <v>26.572925302293935</v>
      </c>
    </row>
    <row r="7" spans="2:12" x14ac:dyDescent="0.35">
      <c r="E7">
        <v>50</v>
      </c>
      <c r="F7" s="2">
        <f t="shared" si="1"/>
        <v>7.3819455158351319E-26</v>
      </c>
      <c r="G7" s="2">
        <f t="shared" si="0"/>
        <v>1.1465868962848006E-12</v>
      </c>
      <c r="H7" s="2">
        <f t="shared" si="0"/>
        <v>1.2087908087842748E-4</v>
      </c>
      <c r="I7" s="2">
        <f t="shared" si="0"/>
        <v>6.918299995080715E-2</v>
      </c>
      <c r="J7" s="2">
        <f t="shared" si="0"/>
        <v>1.9608951086795208</v>
      </c>
      <c r="K7" s="2">
        <f t="shared" si="0"/>
        <v>18.50876515619937</v>
      </c>
      <c r="L7" s="2">
        <f t="shared" si="0"/>
        <v>46.543354721337856</v>
      </c>
    </row>
    <row r="8" spans="2:12" x14ac:dyDescent="0.35">
      <c r="B8" t="s">
        <v>4</v>
      </c>
      <c r="C8">
        <v>1E-4</v>
      </c>
      <c r="E8">
        <v>60</v>
      </c>
      <c r="F8" s="2">
        <f t="shared" si="1"/>
        <v>6.6694307589900673E-14</v>
      </c>
      <c r="G8" s="2">
        <f t="shared" si="0"/>
        <v>1.1407940683244143E-6</v>
      </c>
      <c r="H8" s="2">
        <f t="shared" si="0"/>
        <v>3.2006388979675678E-2</v>
      </c>
      <c r="I8" s="2">
        <f t="shared" si="0"/>
        <v>1.1782550456210239</v>
      </c>
      <c r="J8" s="2">
        <f t="shared" si="0"/>
        <v>8.4697403137257155</v>
      </c>
      <c r="K8" s="2">
        <f t="shared" si="0"/>
        <v>35.099281241135479</v>
      </c>
      <c r="L8" s="2">
        <f t="shared" si="0"/>
        <v>67.083143111985592</v>
      </c>
    </row>
    <row r="9" spans="2:12" x14ac:dyDescent="0.35">
      <c r="E9">
        <v>70</v>
      </c>
      <c r="F9" s="2">
        <f t="shared" si="1"/>
        <v>1.3093402778473881E-6</v>
      </c>
      <c r="G9" s="2">
        <f t="shared" si="0"/>
        <v>5.2534004542867671E-3</v>
      </c>
      <c r="H9" s="2">
        <f t="shared" si="0"/>
        <v>0.97862778059986866</v>
      </c>
      <c r="I9" s="2">
        <f t="shared" si="0"/>
        <v>6.7712215489595939</v>
      </c>
      <c r="J9" s="2">
        <f t="shared" si="0"/>
        <v>21.101862917350942</v>
      </c>
      <c r="K9" s="2">
        <f t="shared" si="0"/>
        <v>52.961780494089616</v>
      </c>
      <c r="L9" s="2">
        <f t="shared" si="0"/>
        <v>85.641109225509382</v>
      </c>
    </row>
    <row r="10" spans="2:12" x14ac:dyDescent="0.35">
      <c r="E10">
        <v>80</v>
      </c>
      <c r="F10" s="2">
        <f t="shared" si="1"/>
        <v>2.2342639712611832E-2</v>
      </c>
      <c r="G10" s="2">
        <f t="shared" si="0"/>
        <v>0.70955055898611408</v>
      </c>
      <c r="H10" s="2">
        <f t="shared" si="0"/>
        <v>7.2482504342524789</v>
      </c>
      <c r="I10" s="2">
        <f t="shared" si="0"/>
        <v>19.053422199831747</v>
      </c>
      <c r="J10" s="2">
        <f t="shared" si="0"/>
        <v>36.599218064115036</v>
      </c>
      <c r="K10" s="2">
        <f t="shared" si="0"/>
        <v>68.710099046409567</v>
      </c>
      <c r="L10" s="2">
        <f t="shared" si="0"/>
        <v>100.85774899693867</v>
      </c>
    </row>
    <row r="11" spans="2:12" x14ac:dyDescent="0.35">
      <c r="E11">
        <v>90</v>
      </c>
      <c r="F11" s="2">
        <f t="shared" si="1"/>
        <v>2.9866550229244031</v>
      </c>
      <c r="G11" s="2">
        <f t="shared" si="0"/>
        <v>8.4488467601548383</v>
      </c>
      <c r="H11" s="2">
        <f t="shared" si="0"/>
        <v>20.225754977998278</v>
      </c>
      <c r="I11" s="2">
        <f t="shared" si="0"/>
        <v>32.779092375954107</v>
      </c>
      <c r="J11" s="2">
        <f t="shared" si="0"/>
        <v>49.439254221601558</v>
      </c>
      <c r="K11" s="2">
        <f t="shared" si="0"/>
        <v>80.279817168440459</v>
      </c>
      <c r="L11" s="2">
        <f t="shared" si="0"/>
        <v>112.27687132938868</v>
      </c>
    </row>
    <row r="12" spans="2:12" x14ac:dyDescent="0.35">
      <c r="E12">
        <v>100</v>
      </c>
      <c r="F12" s="2">
        <f t="shared" si="1"/>
        <v>12.609356355000045</v>
      </c>
      <c r="G12" s="2">
        <f t="shared" si="0"/>
        <v>17.823408836576959</v>
      </c>
      <c r="H12" s="2">
        <f t="shared" si="0"/>
        <v>28.139043554866738</v>
      </c>
      <c r="I12" s="2">
        <f t="shared" si="0"/>
        <v>39.695254731269003</v>
      </c>
      <c r="J12" s="2">
        <f t="shared" si="0"/>
        <v>55.857580293832143</v>
      </c>
      <c r="K12" s="2">
        <f t="shared" si="0"/>
        <v>87.003696566529953</v>
      </c>
      <c r="L12" s="2">
        <f t="shared" si="0"/>
        <v>120.00389439299042</v>
      </c>
    </row>
    <row r="13" spans="2:12" x14ac:dyDescent="0.35">
      <c r="E13">
        <v>110</v>
      </c>
      <c r="F13" s="2">
        <f t="shared" si="1"/>
        <v>4.2486034552258189</v>
      </c>
      <c r="G13" s="2">
        <f t="shared" si="0"/>
        <v>10.595356081353202</v>
      </c>
      <c r="H13" s="2">
        <f t="shared" si="0"/>
        <v>23.516736154771678</v>
      </c>
      <c r="I13" s="2">
        <f t="shared" si="0"/>
        <v>37.163843368439586</v>
      </c>
      <c r="J13" s="2">
        <f t="shared" si="0"/>
        <v>55.35046877826133</v>
      </c>
      <c r="K13" s="2">
        <f t="shared" si="0"/>
        <v>89.20130015486194</v>
      </c>
      <c r="L13" s="2">
        <f t="shared" si="0"/>
        <v>124.44007123297851</v>
      </c>
    </row>
    <row r="14" spans="2:12" x14ac:dyDescent="0.35">
      <c r="E14">
        <v>120</v>
      </c>
      <c r="F14" s="2">
        <f t="shared" si="1"/>
        <v>0.21663485549439088</v>
      </c>
      <c r="G14" s="2">
        <f t="shared" si="0"/>
        <v>2.4451385663581959</v>
      </c>
      <c r="H14" s="2">
        <f t="shared" si="0"/>
        <v>13.427300640085349</v>
      </c>
      <c r="I14" s="2">
        <f t="shared" si="0"/>
        <v>28.699450581388675</v>
      </c>
      <c r="J14" s="2">
        <f t="shared" si="0"/>
        <v>49.710132584213085</v>
      </c>
      <c r="K14" s="2">
        <f t="shared" si="0"/>
        <v>87.707594319450521</v>
      </c>
      <c r="L14" s="2">
        <f t="shared" si="0"/>
        <v>126.10734964667358</v>
      </c>
    </row>
    <row r="15" spans="2:12" x14ac:dyDescent="0.35">
      <c r="E15">
        <v>130</v>
      </c>
      <c r="F15" s="2">
        <f t="shared" si="1"/>
        <v>2.6353362692077553E-3</v>
      </c>
      <c r="G15" s="2">
        <f t="shared" si="0"/>
        <v>0.27513562592673679</v>
      </c>
      <c r="H15" s="2">
        <f t="shared" si="0"/>
        <v>5.7400336616098002</v>
      </c>
      <c r="I15" s="2">
        <f t="shared" si="0"/>
        <v>19.143746343228685</v>
      </c>
      <c r="J15" s="2">
        <f t="shared" si="0"/>
        <v>41.420192393673005</v>
      </c>
      <c r="K15" s="2">
        <f t="shared" si="0"/>
        <v>83.516580546287855</v>
      </c>
      <c r="L15" s="2">
        <f t="shared" si="0"/>
        <v>125.54478493242982</v>
      </c>
    </row>
    <row r="16" spans="2:12" x14ac:dyDescent="0.35">
      <c r="E16">
        <v>140</v>
      </c>
      <c r="F16" s="2">
        <f t="shared" si="1"/>
        <v>1.0660237137471995E-5</v>
      </c>
      <c r="G16" s="2">
        <f t="shared" si="0"/>
        <v>1.7826084253158569E-2</v>
      </c>
      <c r="H16" s="2">
        <f t="shared" si="0"/>
        <v>1.964142288031212</v>
      </c>
      <c r="I16" s="2">
        <f t="shared" si="0"/>
        <v>11.407809595631591</v>
      </c>
      <c r="J16" s="2">
        <f t="shared" si="0"/>
        <v>32.572112488793437</v>
      </c>
      <c r="K16" s="2">
        <f t="shared" si="0"/>
        <v>77.567827761733099</v>
      </c>
      <c r="L16" s="2">
        <f t="shared" si="0"/>
        <v>123.25351378393634</v>
      </c>
    </row>
    <row r="17" spans="5:12" x14ac:dyDescent="0.35">
      <c r="E17">
        <v>150</v>
      </c>
      <c r="F17" s="2">
        <f t="shared" si="1"/>
        <v>1.836752971939859E-8</v>
      </c>
      <c r="G17" s="2">
        <f t="shared" si="0"/>
        <v>7.5268648203064004E-4</v>
      </c>
      <c r="H17" s="2">
        <f t="shared" si="0"/>
        <v>0.5654369711649565</v>
      </c>
      <c r="I17" s="2">
        <f t="shared" si="0"/>
        <v>6.2272820493447512</v>
      </c>
      <c r="J17" s="2">
        <f t="shared" si="0"/>
        <v>24.484138509812681</v>
      </c>
      <c r="K17" s="2">
        <f t="shared" si="0"/>
        <v>70.645767428132444</v>
      </c>
      <c r="L17" s="2">
        <f t="shared" si="0"/>
        <v>119.67195121965091</v>
      </c>
    </row>
    <row r="18" spans="5:12" x14ac:dyDescent="0.35">
      <c r="E18">
        <v>160</v>
      </c>
      <c r="F18" s="2">
        <f t="shared" si="1"/>
        <v>0</v>
      </c>
      <c r="G18" s="2">
        <f t="shared" si="0"/>
        <v>2.2750583639208344E-5</v>
      </c>
      <c r="H18" s="2">
        <f t="shared" si="0"/>
        <v>0.14221408545012082</v>
      </c>
      <c r="I18" s="2">
        <f t="shared" si="0"/>
        <v>3.1738374221745858</v>
      </c>
      <c r="J18" s="2">
        <f t="shared" si="0"/>
        <v>17.763764903406809</v>
      </c>
      <c r="K18" s="2">
        <f t="shared" si="0"/>
        <v>63.351196963949974</v>
      </c>
      <c r="L18" s="2">
        <f t="shared" si="0"/>
        <v>115.16854738907512</v>
      </c>
    </row>
    <row r="19" spans="5:12" x14ac:dyDescent="0.35">
      <c r="E19">
        <v>170</v>
      </c>
      <c r="F19" s="2">
        <f t="shared" si="1"/>
        <v>0</v>
      </c>
      <c r="G19" s="2">
        <f t="shared" si="1"/>
        <v>5.2914117532054661E-7</v>
      </c>
      <c r="H19" s="2">
        <f t="shared" si="1"/>
        <v>3.2171322104090905E-2</v>
      </c>
      <c r="I19" s="2">
        <f t="shared" si="1"/>
        <v>1.5326031522988615</v>
      </c>
      <c r="J19" s="2">
        <f t="shared" si="1"/>
        <v>12.532556870041844</v>
      </c>
      <c r="K19" s="2">
        <f t="shared" si="1"/>
        <v>56.111948816308654</v>
      </c>
      <c r="L19" s="2">
        <f t="shared" si="1"/>
        <v>110.04400396224412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L19"/>
  <sheetViews>
    <sheetView workbookViewId="0">
      <selection activeCell="C3" sqref="C3:C5"/>
    </sheetView>
  </sheetViews>
  <sheetFormatPr defaultRowHeight="14.5" x14ac:dyDescent="0.35"/>
  <cols>
    <col min="6" max="6" width="9.81640625" bestFit="1" customWidth="1"/>
    <col min="7" max="8" width="11.81640625" bestFit="1" customWidth="1"/>
  </cols>
  <sheetData>
    <row r="1" spans="2:12" x14ac:dyDescent="0.35">
      <c r="E1" t="s">
        <v>5</v>
      </c>
    </row>
    <row r="2" spans="2:12" x14ac:dyDescent="0.35">
      <c r="F2">
        <v>0.1</v>
      </c>
      <c r="G2">
        <v>0.2</v>
      </c>
      <c r="H2">
        <v>0.5</v>
      </c>
      <c r="I2">
        <v>1</v>
      </c>
      <c r="J2">
        <v>2</v>
      </c>
      <c r="K2">
        <v>5</v>
      </c>
      <c r="L2">
        <v>10</v>
      </c>
    </row>
    <row r="3" spans="2:12" x14ac:dyDescent="0.35">
      <c r="B3" t="s">
        <v>1</v>
      </c>
      <c r="C3">
        <v>0</v>
      </c>
      <c r="E3">
        <v>10</v>
      </c>
      <c r="F3" s="2">
        <f>BlackCallRho($E3,$C$3,$C$4,$C$5,F$2,$C$6,$C$8)</f>
        <v>5.1960038756018984E-290</v>
      </c>
      <c r="G3" s="2">
        <f t="shared" ref="G3:L18" si="0">BlackCallRho($E3,$C$3,$C$4,$C$5,G$2,$C$6,$C$8)</f>
        <v>1.196367936794898E-145</v>
      </c>
      <c r="H3" s="2">
        <f t="shared" si="0"/>
        <v>1.0446660001544304E-58</v>
      </c>
      <c r="I3" s="2">
        <f t="shared" si="0"/>
        <v>1.7714257532059172E-29</v>
      </c>
      <c r="J3" s="2">
        <f t="shared" si="0"/>
        <v>1.2083055323403445E-14</v>
      </c>
      <c r="K3" s="2">
        <f t="shared" si="0"/>
        <v>1.9430060446419993E-5</v>
      </c>
      <c r="L3" s="2">
        <f t="shared" si="0"/>
        <v>3.7959058047444295E-2</v>
      </c>
    </row>
    <row r="4" spans="2:12" x14ac:dyDescent="0.35">
      <c r="B4" t="s">
        <v>2</v>
      </c>
      <c r="C4">
        <v>0</v>
      </c>
      <c r="E4">
        <v>20</v>
      </c>
      <c r="F4" s="2">
        <f t="shared" ref="F4:L19" si="1">BlackCallRho($E4,$C$3,$C$4,$C$5,F$2,$C$6,$C$8)</f>
        <v>1.6817289279528335E-142</v>
      </c>
      <c r="G4" s="2">
        <f t="shared" si="0"/>
        <v>9.6647043908028907E-72</v>
      </c>
      <c r="H4" s="2">
        <f t="shared" si="0"/>
        <v>5.8008215001146438E-29</v>
      </c>
      <c r="I4" s="2">
        <f t="shared" si="0"/>
        <v>1.8624027259700502E-14</v>
      </c>
      <c r="J4" s="2">
        <f t="shared" si="0"/>
        <v>5.4884172475610416E-7</v>
      </c>
      <c r="K4" s="2">
        <f t="shared" si="0"/>
        <v>3.3037256312787158E-2</v>
      </c>
      <c r="L4" s="2">
        <f t="shared" si="0"/>
        <v>2.111722912668569</v>
      </c>
    </row>
    <row r="5" spans="2:12" x14ac:dyDescent="0.35">
      <c r="B5" t="s">
        <v>3</v>
      </c>
      <c r="C5">
        <v>0.2</v>
      </c>
      <c r="E5">
        <v>30</v>
      </c>
      <c r="F5" s="2">
        <f t="shared" si="1"/>
        <v>2.3242705148823882E-80</v>
      </c>
      <c r="G5" s="2">
        <f t="shared" si="0"/>
        <v>1.4503367028208253E-40</v>
      </c>
      <c r="H5" s="2">
        <f t="shared" si="0"/>
        <v>2.289079322674146E-16</v>
      </c>
      <c r="I5" s="2">
        <f t="shared" si="0"/>
        <v>4.682769188575278E-8</v>
      </c>
      <c r="J5" s="2">
        <f t="shared" si="0"/>
        <v>1.0919878761126184E-3</v>
      </c>
      <c r="K5" s="2">
        <f t="shared" si="0"/>
        <v>0.8870259198376188</v>
      </c>
      <c r="L5" s="2">
        <f t="shared" si="0"/>
        <v>13.213611559901027</v>
      </c>
    </row>
    <row r="6" spans="2:12" x14ac:dyDescent="0.35">
      <c r="B6" t="s">
        <v>0</v>
      </c>
      <c r="C6">
        <v>100</v>
      </c>
      <c r="E6">
        <v>40</v>
      </c>
      <c r="F6" s="2">
        <f t="shared" si="1"/>
        <v>4.5618832132108126E-47</v>
      </c>
      <c r="G6" s="2">
        <f t="shared" si="0"/>
        <v>7.8858787700959926E-24</v>
      </c>
      <c r="H6" s="2">
        <f t="shared" si="0"/>
        <v>1.4397333160028508E-9</v>
      </c>
      <c r="I6" s="2">
        <f t="shared" si="0"/>
        <v>1.4242402047183629E-4</v>
      </c>
      <c r="J6" s="2">
        <f t="shared" si="0"/>
        <v>7.2223050157171981E-2</v>
      </c>
      <c r="K6" s="2">
        <f t="shared" si="0"/>
        <v>5.7641595492349813</v>
      </c>
      <c r="L6" s="2">
        <f t="shared" si="0"/>
        <v>38.781014258933986</v>
      </c>
    </row>
    <row r="7" spans="2:12" x14ac:dyDescent="0.35">
      <c r="E7">
        <v>50</v>
      </c>
      <c r="F7" s="2">
        <f t="shared" si="1"/>
        <v>2.105456942279947E-27</v>
      </c>
      <c r="G7" s="2">
        <f t="shared" si="0"/>
        <v>6.4744782224611679E-14</v>
      </c>
      <c r="H7" s="2">
        <f t="shared" si="0"/>
        <v>1.6566315415308059E-5</v>
      </c>
      <c r="I7" s="2">
        <f t="shared" si="0"/>
        <v>1.8141839996880377E-2</v>
      </c>
      <c r="J7" s="2">
        <f t="shared" si="0"/>
        <v>0.9540131659633091</v>
      </c>
      <c r="K7" s="2">
        <f t="shared" si="0"/>
        <v>19.035197825045813</v>
      </c>
      <c r="L7" s="2">
        <f t="shared" si="0"/>
        <v>78.947080163558326</v>
      </c>
    </row>
    <row r="8" spans="2:12" x14ac:dyDescent="0.35">
      <c r="B8" t="s">
        <v>4</v>
      </c>
      <c r="C8">
        <v>1E-4</v>
      </c>
      <c r="E8">
        <v>60</v>
      </c>
      <c r="F8" s="2">
        <f t="shared" si="1"/>
        <v>2.5627387878172386E-15</v>
      </c>
      <c r="G8" s="2">
        <f t="shared" si="0"/>
        <v>8.6168429741691512E-8</v>
      </c>
      <c r="H8" s="2">
        <f t="shared" si="0"/>
        <v>5.767306722424803E-3</v>
      </c>
      <c r="I8" s="2">
        <f t="shared" si="0"/>
        <v>0.39756826354542252</v>
      </c>
      <c r="J8" s="2">
        <f t="shared" si="0"/>
        <v>5.1479305232729473</v>
      </c>
      <c r="K8" s="2">
        <f t="shared" si="0"/>
        <v>42.996708777991444</v>
      </c>
      <c r="L8" s="2">
        <f t="shared" si="0"/>
        <v>130.52476606639996</v>
      </c>
    </row>
    <row r="9" spans="2:12" x14ac:dyDescent="0.35">
      <c r="E9">
        <v>70</v>
      </c>
      <c r="F9" s="2">
        <f t="shared" si="1"/>
        <v>7.0921569313947736E-8</v>
      </c>
      <c r="G9" s="2">
        <f t="shared" si="0"/>
        <v>5.5194031505288147E-4</v>
      </c>
      <c r="H9" s="2">
        <f t="shared" si="0"/>
        <v>0.23800680812471539</v>
      </c>
      <c r="I9" s="2">
        <f t="shared" si="0"/>
        <v>2.9824806160445858</v>
      </c>
      <c r="J9" s="2">
        <f t="shared" si="0"/>
        <v>16.077863125176783</v>
      </c>
      <c r="K9" s="2">
        <f t="shared" si="0"/>
        <v>76.795114201106955</v>
      </c>
      <c r="L9" s="2">
        <f t="shared" si="0"/>
        <v>189.3807911784684</v>
      </c>
    </row>
    <row r="10" spans="2:12" x14ac:dyDescent="0.35">
      <c r="E10">
        <v>80</v>
      </c>
      <c r="F10" s="2">
        <f t="shared" si="1"/>
        <v>1.8554598910214119E-3</v>
      </c>
      <c r="G10" s="2">
        <f t="shared" si="0"/>
        <v>0.11099768946342889</v>
      </c>
      <c r="H10" s="2">
        <f t="shared" si="0"/>
        <v>2.4808743311577341</v>
      </c>
      <c r="I10" s="2">
        <f t="shared" si="0"/>
        <v>11.204623547924619</v>
      </c>
      <c r="J10" s="2">
        <f t="shared" si="0"/>
        <v>35.218838992183699</v>
      </c>
      <c r="K10" s="2">
        <f t="shared" si="0"/>
        <v>117.48588008960058</v>
      </c>
      <c r="L10" s="2">
        <f t="shared" si="0"/>
        <v>251.73216921145601</v>
      </c>
    </row>
    <row r="11" spans="2:12" x14ac:dyDescent="0.35">
      <c r="E11">
        <v>90</v>
      </c>
      <c r="F11" s="2">
        <f t="shared" si="1"/>
        <v>0.44799310433205064</v>
      </c>
      <c r="G11" s="2">
        <f t="shared" si="0"/>
        <v>2.214476643916663</v>
      </c>
      <c r="H11" s="2">
        <f t="shared" si="0"/>
        <v>10.366478581882443</v>
      </c>
      <c r="I11" s="2">
        <f t="shared" si="0"/>
        <v>26.539433016206093</v>
      </c>
      <c r="J11" s="2">
        <f t="shared" si="0"/>
        <v>60.730300848006458</v>
      </c>
      <c r="K11" s="2">
        <f t="shared" si="0"/>
        <v>161.52261500989695</v>
      </c>
      <c r="L11" s="2">
        <f t="shared" si="0"/>
        <v>314.61264542423703</v>
      </c>
    </row>
    <row r="12" spans="2:12" x14ac:dyDescent="0.35">
      <c r="E12">
        <v>100</v>
      </c>
      <c r="F12" s="2">
        <f t="shared" si="1"/>
        <v>4.873864395302796</v>
      </c>
      <c r="G12" s="2">
        <f t="shared" si="0"/>
        <v>9.6432940744461959</v>
      </c>
      <c r="H12" s="2">
        <f t="shared" si="0"/>
        <v>23.590700477029714</v>
      </c>
      <c r="I12" s="2">
        <f t="shared" si="0"/>
        <v>46.017215852831583</v>
      </c>
      <c r="J12" s="2">
        <f t="shared" si="0"/>
        <v>88.753706197000071</v>
      </c>
      <c r="K12" s="2">
        <f t="shared" si="0"/>
        <v>205.7657998244089</v>
      </c>
      <c r="L12" s="2">
        <f t="shared" si="0"/>
        <v>375.91472967053005</v>
      </c>
    </row>
    <row r="13" spans="2:12" x14ac:dyDescent="0.35">
      <c r="E13">
        <v>110</v>
      </c>
      <c r="F13" s="2">
        <f t="shared" si="1"/>
        <v>9.2994257571721306</v>
      </c>
      <c r="G13" s="2">
        <f t="shared" si="0"/>
        <v>16.926881524721438</v>
      </c>
      <c r="H13" s="2">
        <f t="shared" si="0"/>
        <v>36.341175007033044</v>
      </c>
      <c r="I13" s="2">
        <f t="shared" si="0"/>
        <v>64.674629752508039</v>
      </c>
      <c r="J13" s="2">
        <f t="shared" si="0"/>
        <v>115.50383545863241</v>
      </c>
      <c r="K13" s="2">
        <f t="shared" si="0"/>
        <v>247.90820660953727</v>
      </c>
      <c r="L13" s="2">
        <f t="shared" si="0"/>
        <v>434.26365007535492</v>
      </c>
    </row>
    <row r="14" spans="2:12" x14ac:dyDescent="0.35">
      <c r="E14">
        <v>120</v>
      </c>
      <c r="F14" s="2">
        <f t="shared" si="1"/>
        <v>9.9782182066299185</v>
      </c>
      <c r="G14" s="2">
        <f t="shared" si="0"/>
        <v>19.538146691768787</v>
      </c>
      <c r="H14" s="2">
        <f t="shared" si="0"/>
        <v>44.424124545159316</v>
      </c>
      <c r="I14" s="2">
        <f t="shared" si="0"/>
        <v>79.149162514635663</v>
      </c>
      <c r="J14" s="2">
        <f t="shared" si="0"/>
        <v>138.5164112506132</v>
      </c>
      <c r="K14" s="2">
        <f t="shared" si="0"/>
        <v>286.5116264633549</v>
      </c>
      <c r="L14" s="2">
        <f t="shared" si="0"/>
        <v>488.8500641371607</v>
      </c>
    </row>
    <row r="15" spans="2:12" x14ac:dyDescent="0.35">
      <c r="E15">
        <v>130</v>
      </c>
      <c r="F15" s="2">
        <f t="shared" si="1"/>
        <v>9.9998078492902209</v>
      </c>
      <c r="G15" s="2">
        <f t="shared" si="0"/>
        <v>19.961303937208186</v>
      </c>
      <c r="H15" s="2">
        <f t="shared" si="0"/>
        <v>48.141376892800736</v>
      </c>
      <c r="I15" s="2">
        <f t="shared" si="0"/>
        <v>88.720959640564701</v>
      </c>
      <c r="J15" s="2">
        <f t="shared" si="0"/>
        <v>156.82357922681689</v>
      </c>
      <c r="K15" s="2">
        <f t="shared" si="0"/>
        <v>320.85948759224436</v>
      </c>
      <c r="L15" s="2">
        <f t="shared" si="0"/>
        <v>539.27453374857487</v>
      </c>
    </row>
    <row r="16" spans="2:12" x14ac:dyDescent="0.35">
      <c r="E16">
        <v>140</v>
      </c>
      <c r="F16" s="2">
        <f t="shared" si="1"/>
        <v>9.9999993834387624</v>
      </c>
      <c r="G16" s="2">
        <f t="shared" si="0"/>
        <v>19.99798519349838</v>
      </c>
      <c r="H16" s="2">
        <f t="shared" si="0"/>
        <v>49.475726546752696</v>
      </c>
      <c r="I16" s="2">
        <f t="shared" si="0"/>
        <v>94.321642176282694</v>
      </c>
      <c r="J16" s="2">
        <f t="shared" si="0"/>
        <v>170.54477875767304</v>
      </c>
      <c r="K16" s="2">
        <f t="shared" si="0"/>
        <v>350.75836277908223</v>
      </c>
      <c r="L16" s="2">
        <f t="shared" si="0"/>
        <v>585.42084284788132</v>
      </c>
    </row>
    <row r="17" spans="5:12" x14ac:dyDescent="0.35">
      <c r="E17">
        <v>150</v>
      </c>
      <c r="F17" s="2">
        <f t="shared" si="1"/>
        <v>9.9999999990885158</v>
      </c>
      <c r="G17" s="2">
        <f t="shared" si="0"/>
        <v>19.999928280292067</v>
      </c>
      <c r="H17" s="2">
        <f t="shared" si="0"/>
        <v>49.870795741924212</v>
      </c>
      <c r="I17" s="2">
        <f t="shared" si="0"/>
        <v>97.303045929990617</v>
      </c>
      <c r="J17" s="2">
        <f t="shared" si="0"/>
        <v>180.36823875160479</v>
      </c>
      <c r="K17" s="2">
        <f t="shared" si="0"/>
        <v>376.35468989321907</v>
      </c>
      <c r="L17" s="2">
        <f t="shared" si="0"/>
        <v>627.35969124869223</v>
      </c>
    </row>
    <row r="18" spans="5:12" x14ac:dyDescent="0.35">
      <c r="E18">
        <v>160</v>
      </c>
      <c r="F18" s="2">
        <f t="shared" si="1"/>
        <v>10.000000000189857</v>
      </c>
      <c r="G18" s="2">
        <f t="shared" si="0"/>
        <v>19.999998113604534</v>
      </c>
      <c r="H18" s="2">
        <f t="shared" si="0"/>
        <v>49.971423179258068</v>
      </c>
      <c r="I18" s="2">
        <f t="shared" si="0"/>
        <v>98.777610143088168</v>
      </c>
      <c r="J18" s="2">
        <f t="shared" si="0"/>
        <v>187.15624682521081</v>
      </c>
      <c r="K18" s="2">
        <f t="shared" si="0"/>
        <v>397.99075065424461</v>
      </c>
      <c r="L18" s="2">
        <f t="shared" si="0"/>
        <v>665.27858694747977</v>
      </c>
    </row>
    <row r="19" spans="5:12" x14ac:dyDescent="0.35">
      <c r="E19">
        <v>170</v>
      </c>
      <c r="F19" s="2">
        <f t="shared" si="1"/>
        <v>10.000000000189857</v>
      </c>
      <c r="G19" s="2">
        <f t="shared" si="1"/>
        <v>19.999999962081461</v>
      </c>
      <c r="H19" s="2">
        <f t="shared" si="1"/>
        <v>49.994201046885678</v>
      </c>
      <c r="I19" s="2">
        <f t="shared" si="1"/>
        <v>99.466219023227609</v>
      </c>
      <c r="J19" s="2">
        <f t="shared" si="1"/>
        <v>191.71941158376171</v>
      </c>
      <c r="K19" s="2">
        <f t="shared" si="1"/>
        <v>416.10230330483944</v>
      </c>
      <c r="L19" s="2">
        <f t="shared" si="1"/>
        <v>699.43240775707238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L19"/>
  <sheetViews>
    <sheetView workbookViewId="0">
      <selection activeCell="C15" sqref="C15"/>
    </sheetView>
  </sheetViews>
  <sheetFormatPr defaultRowHeight="14.5" x14ac:dyDescent="0.35"/>
  <cols>
    <col min="6" max="6" width="9.81640625" bestFit="1" customWidth="1"/>
    <col min="7" max="8" width="11.81640625" bestFit="1" customWidth="1"/>
  </cols>
  <sheetData>
    <row r="1" spans="2:12" x14ac:dyDescent="0.35">
      <c r="E1" t="s">
        <v>5</v>
      </c>
    </row>
    <row r="2" spans="2:12" x14ac:dyDescent="0.35">
      <c r="F2">
        <v>0.1</v>
      </c>
      <c r="G2">
        <v>0.2</v>
      </c>
      <c r="H2">
        <v>0.5</v>
      </c>
      <c r="I2">
        <v>1</v>
      </c>
      <c r="J2">
        <v>2</v>
      </c>
      <c r="K2">
        <v>5</v>
      </c>
      <c r="L2">
        <v>10</v>
      </c>
    </row>
    <row r="3" spans="2:12" x14ac:dyDescent="0.35">
      <c r="B3" t="s">
        <v>1</v>
      </c>
      <c r="C3">
        <v>0</v>
      </c>
      <c r="E3">
        <v>10</v>
      </c>
      <c r="F3" s="2">
        <f>BlackCallTheta($E3,$C$3,$C$4,$C$5,F$2,$C$6,$C$8)</f>
        <v>-2.1905341774075281E-288</v>
      </c>
      <c r="G3" s="2">
        <f t="shared" ref="G3:L18" si="0">BlackCallTheta($E3,$C$3,$C$4,$C$5,G$2,$C$6,$C$8)</f>
        <v>-1.5919250172381212E-144</v>
      </c>
      <c r="H3" s="2">
        <f t="shared" si="0"/>
        <v>-2.3930910736877085E-58</v>
      </c>
      <c r="I3" s="2">
        <f t="shared" si="0"/>
        <v>-1.0326840582158593E-29</v>
      </c>
      <c r="J3" s="2">
        <f t="shared" si="0"/>
        <v>-1.7927143333701139E-15</v>
      </c>
      <c r="K3" s="2">
        <f t="shared" si="0"/>
        <v>-4.8196964787015389E-7</v>
      </c>
      <c r="L3" s="2">
        <f t="shared" si="0"/>
        <v>-2.5114282950846906E-4</v>
      </c>
    </row>
    <row r="4" spans="2:12" x14ac:dyDescent="0.35">
      <c r="B4" t="s">
        <v>2</v>
      </c>
      <c r="C4">
        <v>0</v>
      </c>
      <c r="E4">
        <v>20</v>
      </c>
      <c r="F4" s="2">
        <f t="shared" ref="F4:L19" si="1">BlackCallTheta($E4,$C$3,$C$4,$C$5,F$2,$C$6,$C$8)</f>
        <v>-5.7972320967752144E-141</v>
      </c>
      <c r="G4" s="2">
        <f t="shared" si="0"/>
        <v>-9.3914662306950858E-71</v>
      </c>
      <c r="H4" s="2">
        <f t="shared" si="0"/>
        <v>-9.4040684392422925E-29</v>
      </c>
      <c r="I4" s="2">
        <f t="shared" si="0"/>
        <v>-7.6854853315251618E-15</v>
      </c>
      <c r="J4" s="2">
        <f t="shared" si="0"/>
        <v>-5.8134874699180041E-8</v>
      </c>
      <c r="K4" s="2">
        <f t="shared" si="0"/>
        <v>-5.9931451810166583E-4</v>
      </c>
      <c r="L4" s="2">
        <f t="shared" si="0"/>
        <v>-1.0531457425681789E-2</v>
      </c>
    </row>
    <row r="5" spans="2:12" x14ac:dyDescent="0.35">
      <c r="B5" t="s">
        <v>3</v>
      </c>
      <c r="C5">
        <v>0.2</v>
      </c>
      <c r="E5">
        <v>30</v>
      </c>
      <c r="F5" s="2">
        <f t="shared" si="1"/>
        <v>-6.4280383807527905E-79</v>
      </c>
      <c r="G5" s="2">
        <f t="shared" si="0"/>
        <v>-1.0764801437185159E-39</v>
      </c>
      <c r="H5" s="2">
        <f t="shared" si="0"/>
        <v>-2.8055882715432163E-16</v>
      </c>
      <c r="I5" s="2">
        <f t="shared" si="0"/>
        <v>-1.4680451007206892E-8</v>
      </c>
      <c r="J5" s="2">
        <f t="shared" si="0"/>
        <v>-8.8902964908136488E-5</v>
      </c>
      <c r="K5" s="2">
        <f t="shared" si="0"/>
        <v>-1.2713215294668512E-2</v>
      </c>
      <c r="L5" s="2">
        <f t="shared" si="0"/>
        <v>-5.3679504280479406E-2</v>
      </c>
    </row>
    <row r="6" spans="2:12" x14ac:dyDescent="0.35">
      <c r="B6" t="s">
        <v>0</v>
      </c>
      <c r="C6">
        <v>100</v>
      </c>
      <c r="E6">
        <v>40</v>
      </c>
      <c r="F6" s="2">
        <f t="shared" si="1"/>
        <v>-9.9908445565476969E-46</v>
      </c>
      <c r="G6" s="2">
        <f t="shared" si="0"/>
        <v>-4.5188905700374796E-23</v>
      </c>
      <c r="H6" s="2">
        <f t="shared" si="0"/>
        <v>-1.3606023540073178E-9</v>
      </c>
      <c r="I6" s="2">
        <f t="shared" si="0"/>
        <v>-3.4726610605059806E-5</v>
      </c>
      <c r="J6" s="2">
        <f t="shared" si="0"/>
        <v>-4.6459127572926612E-3</v>
      </c>
      <c r="K6" s="2">
        <f t="shared" si="0"/>
        <v>-6.7451096081583284E-2</v>
      </c>
      <c r="L6" s="2">
        <f t="shared" si="0"/>
        <v>-0.13286430799563931</v>
      </c>
    </row>
    <row r="7" spans="2:12" x14ac:dyDescent="0.35">
      <c r="E7">
        <v>50</v>
      </c>
      <c r="F7" s="2">
        <f t="shared" si="1"/>
        <v>-3.5810429355141861E-26</v>
      </c>
      <c r="G7" s="2">
        <f t="shared" si="0"/>
        <v>-2.8449979996445293E-13</v>
      </c>
      <c r="H7" s="2">
        <f t="shared" si="0"/>
        <v>-1.2073751161536836E-5</v>
      </c>
      <c r="I7" s="2">
        <f t="shared" si="0"/>
        <v>-3.4581831647822981E-3</v>
      </c>
      <c r="J7" s="2">
        <f t="shared" si="0"/>
        <v>-4.9019286278081942E-2</v>
      </c>
      <c r="K7" s="2">
        <f t="shared" si="0"/>
        <v>-0.18508641341064003</v>
      </c>
      <c r="L7" s="2">
        <f t="shared" si="0"/>
        <v>-0.23271673894154077</v>
      </c>
    </row>
    <row r="8" spans="2:12" x14ac:dyDescent="0.35">
      <c r="B8" t="s">
        <v>4</v>
      </c>
      <c r="C8">
        <v>1E-4</v>
      </c>
      <c r="E8">
        <v>60</v>
      </c>
      <c r="F8" s="2">
        <f t="shared" si="1"/>
        <v>-3.2811427849050219E-14</v>
      </c>
      <c r="G8" s="2">
        <f t="shared" si="0"/>
        <v>-2.8406256904577437E-7</v>
      </c>
      <c r="H8" s="2">
        <f t="shared" si="0"/>
        <v>-3.1986948235580566E-3</v>
      </c>
      <c r="I8" s="2">
        <f t="shared" si="0"/>
        <v>-5.8904575870634412E-2</v>
      </c>
      <c r="J8" s="2">
        <f t="shared" si="0"/>
        <v>-0.21173756796388776</v>
      </c>
      <c r="K8" s="2">
        <f t="shared" si="0"/>
        <v>-0.35099240032199219</v>
      </c>
      <c r="L8" s="2">
        <f t="shared" si="0"/>
        <v>-0.33541611544229966</v>
      </c>
    </row>
    <row r="9" spans="2:12" x14ac:dyDescent="0.35">
      <c r="E9">
        <v>70</v>
      </c>
      <c r="F9" s="2">
        <f t="shared" si="1"/>
        <v>-6.4962625520228115E-7</v>
      </c>
      <c r="G9" s="2">
        <f t="shared" si="0"/>
        <v>-1.3108949688028016E-3</v>
      </c>
      <c r="H9" s="2">
        <f t="shared" si="0"/>
        <v>-9.783648512550272E-2</v>
      </c>
      <c r="I9" s="2">
        <f t="shared" si="0"/>
        <v>-0.33854269900671086</v>
      </c>
      <c r="J9" s="2">
        <f t="shared" si="0"/>
        <v>-0.52754286366418768</v>
      </c>
      <c r="K9" s="2">
        <f t="shared" si="0"/>
        <v>-0.52961893663105997</v>
      </c>
      <c r="L9" s="2">
        <f t="shared" si="0"/>
        <v>-0.42820640117291475</v>
      </c>
    </row>
    <row r="10" spans="2:12" x14ac:dyDescent="0.35">
      <c r="E10">
        <v>80</v>
      </c>
      <c r="F10" s="2">
        <f t="shared" si="1"/>
        <v>-1.113933376546423E-2</v>
      </c>
      <c r="G10" s="2">
        <f t="shared" si="0"/>
        <v>-0.17727170713724774</v>
      </c>
      <c r="H10" s="2">
        <f t="shared" si="0"/>
        <v>-0.72477127008363507</v>
      </c>
      <c r="I10" s="2">
        <f t="shared" si="0"/>
        <v>-0.95266560415363521</v>
      </c>
      <c r="J10" s="2">
        <f t="shared" si="0"/>
        <v>-0.91498505700782218</v>
      </c>
      <c r="K10" s="2">
        <f t="shared" si="0"/>
        <v>-0.68710376414315988</v>
      </c>
      <c r="L10" s="2">
        <f t="shared" si="0"/>
        <v>-0.50428998477514142</v>
      </c>
    </row>
    <row r="11" spans="2:12" x14ac:dyDescent="0.35">
      <c r="E11">
        <v>90</v>
      </c>
      <c r="F11" s="2">
        <f t="shared" si="1"/>
        <v>-1.4926648111555918</v>
      </c>
      <c r="G11" s="2">
        <f t="shared" si="0"/>
        <v>-2.1121100028706485</v>
      </c>
      <c r="H11" s="2">
        <f t="shared" si="0"/>
        <v>-2.0226211167284625</v>
      </c>
      <c r="I11" s="2">
        <f t="shared" si="0"/>
        <v>-1.6389846849040879</v>
      </c>
      <c r="J11" s="2">
        <f t="shared" si="0"/>
        <v>-1.2359949925322411</v>
      </c>
      <c r="K11" s="2">
        <f t="shared" si="0"/>
        <v>-0.80280217088279926</v>
      </c>
      <c r="L11" s="2">
        <f t="shared" si="0"/>
        <v>-0.56138586566945037</v>
      </c>
    </row>
    <row r="12" spans="2:12" x14ac:dyDescent="0.35">
      <c r="E12">
        <v>100</v>
      </c>
      <c r="F12" s="2">
        <f t="shared" si="1"/>
        <v>-6.3062567125227176</v>
      </c>
      <c r="G12" s="2">
        <f t="shared" si="0"/>
        <v>-4.456410444526604</v>
      </c>
      <c r="H12" s="2">
        <f t="shared" si="0"/>
        <v>-2.8140457688508036</v>
      </c>
      <c r="I12" s="2">
        <f t="shared" si="0"/>
        <v>-1.9848128550981059</v>
      </c>
      <c r="J12" s="2">
        <f t="shared" si="0"/>
        <v>-1.3964573135627489</v>
      </c>
      <c r="K12" s="2">
        <f t="shared" si="0"/>
        <v>-0.87004153515479743</v>
      </c>
      <c r="L12" s="2">
        <f t="shared" si="0"/>
        <v>-0.60002112428847454</v>
      </c>
    </row>
    <row r="13" spans="2:12" x14ac:dyDescent="0.35">
      <c r="E13">
        <v>110</v>
      </c>
      <c r="F13" s="2">
        <f t="shared" si="1"/>
        <v>-2.1236269202873359</v>
      </c>
      <c r="G13" s="2">
        <f t="shared" si="0"/>
        <v>-2.6487949812459277</v>
      </c>
      <c r="H13" s="2">
        <f t="shared" si="0"/>
        <v>-2.3517384965199284</v>
      </c>
      <c r="I13" s="2">
        <f t="shared" si="0"/>
        <v>-1.8582285889845451</v>
      </c>
      <c r="J13" s="2">
        <f t="shared" si="0"/>
        <v>-1.3837774189617846</v>
      </c>
      <c r="K13" s="2">
        <f t="shared" si="0"/>
        <v>-0.89201748906475586</v>
      </c>
      <c r="L13" s="2">
        <f t="shared" si="0"/>
        <v>-0.62220203611573766</v>
      </c>
    </row>
    <row r="14" spans="2:12" x14ac:dyDescent="0.35">
      <c r="E14">
        <v>120</v>
      </c>
      <c r="F14" s="2">
        <f t="shared" si="1"/>
        <v>-0.10811939844757035</v>
      </c>
      <c r="G14" s="2">
        <f t="shared" si="0"/>
        <v>-0.61104355649987951</v>
      </c>
      <c r="H14" s="2">
        <f t="shared" si="0"/>
        <v>-1.3426860676091223</v>
      </c>
      <c r="I14" s="2">
        <f t="shared" si="0"/>
        <v>-1.4349790580148181</v>
      </c>
      <c r="J14" s="2">
        <f t="shared" si="0"/>
        <v>-1.242762762529992</v>
      </c>
      <c r="K14" s="2">
        <f t="shared" si="0"/>
        <v>-0.87707983862372885</v>
      </c>
      <c r="L14" s="2">
        <f t="shared" si="0"/>
        <v>-0.63053836036885968</v>
      </c>
    </row>
    <row r="15" spans="2:12" x14ac:dyDescent="0.35">
      <c r="E15">
        <v>130</v>
      </c>
      <c r="F15" s="2">
        <f t="shared" si="1"/>
        <v>-1.3123263897796278E-3</v>
      </c>
      <c r="G15" s="2">
        <f t="shared" si="0"/>
        <v>-6.871842151312535E-2</v>
      </c>
      <c r="H15" s="2">
        <f t="shared" si="0"/>
        <v>-0.57393338993350085</v>
      </c>
      <c r="I15" s="2">
        <f t="shared" si="0"/>
        <v>-0.95717039389597858</v>
      </c>
      <c r="J15" s="2">
        <f t="shared" si="0"/>
        <v>-1.0355069568035447</v>
      </c>
      <c r="K15" s="2">
        <f t="shared" si="0"/>
        <v>-0.83516878749634316</v>
      </c>
      <c r="L15" s="2">
        <f t="shared" si="0"/>
        <v>-0.62772539685340689</v>
      </c>
    </row>
    <row r="16" spans="2:12" x14ac:dyDescent="0.35">
      <c r="E16">
        <v>140</v>
      </c>
      <c r="F16" s="2">
        <f t="shared" si="1"/>
        <v>-5.2937210170966864E-6</v>
      </c>
      <c r="G16" s="2">
        <f t="shared" si="0"/>
        <v>-4.4491720174733018E-3</v>
      </c>
      <c r="H16" s="2">
        <f t="shared" si="0"/>
        <v>-0.19636838434422543</v>
      </c>
      <c r="I16" s="2">
        <f t="shared" si="0"/>
        <v>-0.57036453373626728</v>
      </c>
      <c r="J16" s="2">
        <f t="shared" si="0"/>
        <v>-0.81429886826356324</v>
      </c>
      <c r="K16" s="2">
        <f t="shared" si="0"/>
        <v>-0.77568020238061308</v>
      </c>
      <c r="L16" s="2">
        <f t="shared" si="0"/>
        <v>-0.61626885116794483</v>
      </c>
    </row>
    <row r="17" spans="5:12" x14ac:dyDescent="0.35">
      <c r="E17">
        <v>150</v>
      </c>
      <c r="F17" s="2">
        <f t="shared" si="1"/>
        <v>-8.9883656073652674E-9</v>
      </c>
      <c r="G17" s="2">
        <f t="shared" si="0"/>
        <v>-1.8770951015767423E-4</v>
      </c>
      <c r="H17" s="2">
        <f t="shared" si="0"/>
        <v>-5.6523199845059935E-2</v>
      </c>
      <c r="I17" s="2">
        <f t="shared" si="0"/>
        <v>-0.31133991281961926</v>
      </c>
      <c r="J17" s="2">
        <f t="shared" si="0"/>
        <v>-0.61209559529373792</v>
      </c>
      <c r="K17" s="2">
        <f t="shared" si="0"/>
        <v>-0.70645853615047827</v>
      </c>
      <c r="L17" s="2">
        <f t="shared" si="0"/>
        <v>-0.59836081756969861</v>
      </c>
    </row>
    <row r="18" spans="5:12" x14ac:dyDescent="0.35">
      <c r="E18">
        <v>160</v>
      </c>
      <c r="F18" s="2">
        <f t="shared" si="1"/>
        <v>3.5527136788005009E-11</v>
      </c>
      <c r="G18" s="2">
        <f t="shared" si="0"/>
        <v>-5.6686033644837153E-6</v>
      </c>
      <c r="H18" s="2">
        <f t="shared" si="0"/>
        <v>-1.4214218175823135E-2</v>
      </c>
      <c r="I18" s="2">
        <f t="shared" si="0"/>
        <v>-0.15867387705981173</v>
      </c>
      <c r="J18" s="2">
        <f t="shared" si="0"/>
        <v>-0.44408447063659651</v>
      </c>
      <c r="K18" s="2">
        <f t="shared" si="0"/>
        <v>-0.63351185644933139</v>
      </c>
      <c r="L18" s="2">
        <f t="shared" si="0"/>
        <v>-0.57584356277118331</v>
      </c>
    </row>
    <row r="19" spans="5:12" x14ac:dyDescent="0.35">
      <c r="E19">
        <v>170</v>
      </c>
      <c r="F19" s="2">
        <f t="shared" si="1"/>
        <v>0</v>
      </c>
      <c r="G19" s="2">
        <f t="shared" si="1"/>
        <v>-1.3173462320992257E-7</v>
      </c>
      <c r="H19" s="2">
        <f t="shared" si="1"/>
        <v>-3.2150090589766478E-3</v>
      </c>
      <c r="I19" s="2">
        <f t="shared" si="1"/>
        <v>-7.6618517255155894E-2</v>
      </c>
      <c r="J19" s="2">
        <f t="shared" si="1"/>
        <v>-0.31330411040642048</v>
      </c>
      <c r="K19" s="2">
        <f t="shared" si="1"/>
        <v>-0.56111854107143699</v>
      </c>
      <c r="L19" s="2">
        <f t="shared" si="1"/>
        <v>-0.550220607067331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protective puts</vt:lpstr>
      <vt:lpstr>covered call</vt:lpstr>
      <vt:lpstr>bull spread</vt:lpstr>
      <vt:lpstr>digital call</vt:lpstr>
      <vt:lpstr>butterfly</vt:lpstr>
      <vt:lpstr>condor</vt:lpstr>
      <vt:lpstr>ratio</vt:lpstr>
      <vt:lpstr>straddle</vt:lpstr>
      <vt:lpstr>Delta</vt:lpstr>
      <vt:lpstr>Gamma</vt:lpstr>
      <vt:lpstr>Vega</vt:lpstr>
      <vt:lpstr>Rho</vt:lpstr>
      <vt:lpstr>Theta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2017-12-30T02:34:27Z</dcterms:modified>
</cp:coreProperties>
</file>