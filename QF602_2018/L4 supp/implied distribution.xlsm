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filterPrivacy="1" codeName="ThisWorkbook"/>
  <bookViews>
    <workbookView xWindow="0" yWindow="0" windowWidth="22260" windowHeight="12650"/>
  </bookViews>
  <sheets>
    <sheet name="implied distribution" sheetId="22" r:id="rId1"/>
    <sheet name="Barrier options" sheetId="21" r:id="rId2"/>
    <sheet name="SABR" sheetId="20" r:id="rId3"/>
    <sheet name="Bachelier" sheetId="16" r:id="rId4"/>
    <sheet name="Ivol surface" sheetId="18" r:id="rId5"/>
    <sheet name="call spread" sheetId="17" r:id="rId6"/>
    <sheet name="call spread with SABR" sheetId="19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2" l="1"/>
  <c r="E7" i="22"/>
  <c r="G7" i="22" l="1"/>
  <c r="G2" i="22" s="1"/>
  <c r="G8" i="22" s="1"/>
  <c r="F7" i="22"/>
  <c r="F2" i="22" s="1"/>
  <c r="F8" i="22" s="1"/>
  <c r="E8" i="22"/>
  <c r="F33" i="22"/>
  <c r="G27" i="22"/>
  <c r="F38" i="22"/>
  <c r="G35" i="22"/>
  <c r="F30" i="22"/>
  <c r="F22" i="22"/>
  <c r="G11" i="22"/>
  <c r="E38" i="22"/>
  <c r="F35" i="22"/>
  <c r="G32" i="22"/>
  <c r="E30" i="22"/>
  <c r="F27" i="22"/>
  <c r="G24" i="22"/>
  <c r="E22" i="22"/>
  <c r="F19" i="22"/>
  <c r="G16" i="22"/>
  <c r="E14" i="22"/>
  <c r="F11" i="22"/>
  <c r="G34" i="22"/>
  <c r="G26" i="22"/>
  <c r="F21" i="22"/>
  <c r="E16" i="22"/>
  <c r="G10" i="22"/>
  <c r="J10" i="22" s="1"/>
  <c r="G19" i="22"/>
  <c r="G37" i="22"/>
  <c r="E35" i="22"/>
  <c r="F32" i="22"/>
  <c r="G29" i="22"/>
  <c r="E27" i="22"/>
  <c r="F24" i="22"/>
  <c r="G21" i="22"/>
  <c r="E19" i="22"/>
  <c r="F16" i="22"/>
  <c r="G13" i="22"/>
  <c r="E11" i="22"/>
  <c r="F37" i="22"/>
  <c r="F29" i="22"/>
  <c r="E24" i="22"/>
  <c r="G18" i="22"/>
  <c r="F13" i="22"/>
  <c r="F14" i="22"/>
  <c r="I13" i="22" s="1"/>
  <c r="E32" i="22"/>
  <c r="E37" i="22"/>
  <c r="F34" i="22"/>
  <c r="G31" i="22"/>
  <c r="E29" i="22"/>
  <c r="F26" i="22"/>
  <c r="G23" i="22"/>
  <c r="E21" i="22"/>
  <c r="F18" i="22"/>
  <c r="G15" i="22"/>
  <c r="E13" i="22"/>
  <c r="F10" i="22"/>
  <c r="I10" i="22" s="1"/>
  <c r="G36" i="22"/>
  <c r="E34" i="22"/>
  <c r="F31" i="22"/>
  <c r="I30" i="22" s="1"/>
  <c r="G28" i="22"/>
  <c r="E26" i="22"/>
  <c r="F23" i="22"/>
  <c r="G20" i="22"/>
  <c r="E18" i="22"/>
  <c r="F15" i="22"/>
  <c r="G12" i="22"/>
  <c r="E10" i="22"/>
  <c r="H10" i="22" s="1"/>
  <c r="F36" i="22"/>
  <c r="G33" i="22"/>
  <c r="J32" i="22" s="1"/>
  <c r="E31" i="22"/>
  <c r="F28" i="22"/>
  <c r="I27" i="22" s="1"/>
  <c r="G25" i="22"/>
  <c r="J24" i="22" s="1"/>
  <c r="E23" i="22"/>
  <c r="F20" i="22"/>
  <c r="I19" i="22" s="1"/>
  <c r="G17" i="22"/>
  <c r="J16" i="22" s="1"/>
  <c r="E15" i="22"/>
  <c r="F12" i="22"/>
  <c r="G38" i="22"/>
  <c r="E36" i="22"/>
  <c r="G30" i="22"/>
  <c r="J29" i="22" s="1"/>
  <c r="E28" i="22"/>
  <c r="H27" i="22" s="1"/>
  <c r="F25" i="22"/>
  <c r="I24" i="22" s="1"/>
  <c r="G22" i="22"/>
  <c r="J21" i="22" s="1"/>
  <c r="E20" i="22"/>
  <c r="H19" i="22" s="1"/>
  <c r="F17" i="22"/>
  <c r="I16" i="22" s="1"/>
  <c r="G14" i="22"/>
  <c r="J13" i="22" s="1"/>
  <c r="E12" i="22"/>
  <c r="H11" i="22" s="1"/>
  <c r="E33" i="22"/>
  <c r="H32" i="22" s="1"/>
  <c r="E25" i="22"/>
  <c r="H24" i="22" s="1"/>
  <c r="E17" i="22"/>
  <c r="H16" i="22" s="1"/>
  <c r="I38" i="22"/>
  <c r="I37" i="22"/>
  <c r="H38" i="22"/>
  <c r="H37" i="22"/>
  <c r="J34" i="22"/>
  <c r="J33" i="22"/>
  <c r="J26" i="22"/>
  <c r="J25" i="22"/>
  <c r="I21" i="22"/>
  <c r="I20" i="22"/>
  <c r="I32" i="22"/>
  <c r="I31" i="22"/>
  <c r="I29" i="22"/>
  <c r="I28" i="22"/>
  <c r="J18" i="22"/>
  <c r="J17" i="22"/>
  <c r="I34" i="22"/>
  <c r="I33" i="22"/>
  <c r="J31" i="22"/>
  <c r="J30" i="22"/>
  <c r="H29" i="22"/>
  <c r="H28" i="22"/>
  <c r="I26" i="22"/>
  <c r="I25" i="22"/>
  <c r="J23" i="22"/>
  <c r="J22" i="22"/>
  <c r="H21" i="22"/>
  <c r="H20" i="22"/>
  <c r="I18" i="22"/>
  <c r="I17" i="22"/>
  <c r="J15" i="22"/>
  <c r="J14" i="22"/>
  <c r="H13" i="22"/>
  <c r="H12" i="22"/>
  <c r="J36" i="22"/>
  <c r="J35" i="22"/>
  <c r="H34" i="22"/>
  <c r="H33" i="22"/>
  <c r="J28" i="22"/>
  <c r="J27" i="22"/>
  <c r="H26" i="22"/>
  <c r="H25" i="22"/>
  <c r="I23" i="22"/>
  <c r="I22" i="22"/>
  <c r="J20" i="22"/>
  <c r="J19" i="22"/>
  <c r="H18" i="22"/>
  <c r="H17" i="22"/>
  <c r="I15" i="22"/>
  <c r="I14" i="22"/>
  <c r="J12" i="22"/>
  <c r="J11" i="22"/>
  <c r="I36" i="22"/>
  <c r="I35" i="22"/>
  <c r="H31" i="22"/>
  <c r="H30" i="22"/>
  <c r="H23" i="22"/>
  <c r="H22" i="22"/>
  <c r="H15" i="22"/>
  <c r="H14" i="22"/>
  <c r="I12" i="22"/>
  <c r="I11" i="22"/>
  <c r="J37" i="22"/>
  <c r="J38" i="22"/>
  <c r="H36" i="22"/>
  <c r="H35" i="22"/>
  <c r="F2" i="20" l="1"/>
  <c r="F8" i="20" s="1"/>
  <c r="G2" i="20"/>
  <c r="G8" i="20" s="1"/>
  <c r="E2" i="20"/>
  <c r="E8" i="20"/>
  <c r="G7" i="20"/>
  <c r="F7" i="20"/>
  <c r="E7" i="20"/>
  <c r="L12" i="21"/>
  <c r="L13" i="21"/>
  <c r="L9" i="21"/>
  <c r="K4" i="21"/>
  <c r="K25" i="21"/>
  <c r="K16" i="21"/>
  <c r="K3" i="21"/>
  <c r="J6" i="21"/>
  <c r="J24" i="21"/>
  <c r="J12" i="21"/>
  <c r="I24" i="21"/>
  <c r="I16" i="21"/>
  <c r="I27" i="21"/>
  <c r="H9" i="21"/>
  <c r="H19" i="21"/>
  <c r="H25" i="21"/>
  <c r="G13" i="21"/>
  <c r="G15" i="21"/>
  <c r="G17" i="21"/>
  <c r="F11" i="21"/>
  <c r="D24" i="21"/>
  <c r="F27" i="21"/>
  <c r="E8" i="21"/>
  <c r="D8" i="21"/>
  <c r="D26" i="21"/>
  <c r="D5" i="21"/>
  <c r="F16" i="21"/>
  <c r="E20" i="21"/>
  <c r="K24" i="21"/>
  <c r="H10" i="21"/>
  <c r="D14" i="21"/>
  <c r="E5" i="21"/>
  <c r="L20" i="21"/>
  <c r="L6" i="21"/>
  <c r="L10" i="21"/>
  <c r="K12" i="21"/>
  <c r="K6" i="21"/>
  <c r="K9" i="21"/>
  <c r="J4" i="21"/>
  <c r="J14" i="21"/>
  <c r="J17" i="21"/>
  <c r="J3" i="21"/>
  <c r="I25" i="21"/>
  <c r="I9" i="21"/>
  <c r="I12" i="21"/>
  <c r="H8" i="21"/>
  <c r="H22" i="21"/>
  <c r="H27" i="21"/>
  <c r="G21" i="21"/>
  <c r="G25" i="21"/>
  <c r="G18" i="21"/>
  <c r="E12" i="21"/>
  <c r="F26" i="21"/>
  <c r="E13" i="21"/>
  <c r="D11" i="21"/>
  <c r="F3" i="21"/>
  <c r="F23" i="21"/>
  <c r="D23" i="21"/>
  <c r="E27" i="21"/>
  <c r="F17" i="21"/>
  <c r="K27" i="21"/>
  <c r="G22" i="21"/>
  <c r="L5" i="21"/>
  <c r="L14" i="21"/>
  <c r="L18" i="21"/>
  <c r="K20" i="21"/>
  <c r="K14" i="21"/>
  <c r="K10" i="21"/>
  <c r="J5" i="21"/>
  <c r="J22" i="21"/>
  <c r="J10" i="21"/>
  <c r="I4" i="21"/>
  <c r="I13" i="21"/>
  <c r="I21" i="21"/>
  <c r="I3" i="21"/>
  <c r="H7" i="21"/>
  <c r="H15" i="21"/>
  <c r="H18" i="21"/>
  <c r="G23" i="21"/>
  <c r="G26" i="21"/>
  <c r="G19" i="21"/>
  <c r="E18" i="21"/>
  <c r="E14" i="21"/>
  <c r="F8" i="21"/>
  <c r="D4" i="21"/>
  <c r="D7" i="21"/>
  <c r="F24" i="21"/>
  <c r="F5" i="21"/>
  <c r="E4" i="21"/>
  <c r="F25" i="21"/>
  <c r="K8" i="21"/>
  <c r="J20" i="21"/>
  <c r="I19" i="21"/>
  <c r="G24" i="21"/>
  <c r="D6" i="21"/>
  <c r="L21" i="21"/>
  <c r="L16" i="21"/>
  <c r="L26" i="21"/>
  <c r="K5" i="21"/>
  <c r="K17" i="21"/>
  <c r="K18" i="21"/>
  <c r="J13" i="21"/>
  <c r="J16" i="21"/>
  <c r="J18" i="21"/>
  <c r="I5" i="21"/>
  <c r="I7" i="21"/>
  <c r="I10" i="21"/>
  <c r="H14" i="21"/>
  <c r="H6" i="21"/>
  <c r="H23" i="21"/>
  <c r="H26" i="21"/>
  <c r="G10" i="21"/>
  <c r="G11" i="21"/>
  <c r="G9" i="21"/>
  <c r="E7" i="21"/>
  <c r="F4" i="21"/>
  <c r="D9" i="21"/>
  <c r="E11" i="21"/>
  <c r="F12" i="21"/>
  <c r="E6" i="21"/>
  <c r="D18" i="21"/>
  <c r="D15" i="21"/>
  <c r="F10" i="21"/>
  <c r="L3" i="21"/>
  <c r="J23" i="21"/>
  <c r="H21" i="21"/>
  <c r="F14" i="21"/>
  <c r="D10" i="21"/>
  <c r="L22" i="21"/>
  <c r="L17" i="21"/>
  <c r="L11" i="21"/>
  <c r="K13" i="21"/>
  <c r="K7" i="21"/>
  <c r="K26" i="21"/>
  <c r="J21" i="21"/>
  <c r="J25" i="21"/>
  <c r="J26" i="21"/>
  <c r="I6" i="21"/>
  <c r="I23" i="21"/>
  <c r="I18" i="21"/>
  <c r="H13" i="21"/>
  <c r="H5" i="21"/>
  <c r="H17" i="21"/>
  <c r="G4" i="21"/>
  <c r="G27" i="21"/>
  <c r="G7" i="21"/>
  <c r="G3" i="21"/>
  <c r="E3" i="21"/>
  <c r="D21" i="21"/>
  <c r="D12" i="21"/>
  <c r="D19" i="21"/>
  <c r="E10" i="21"/>
  <c r="E16" i="21"/>
  <c r="E9" i="21"/>
  <c r="F22" i="21"/>
  <c r="L25" i="21"/>
  <c r="I15" i="21"/>
  <c r="G5" i="21"/>
  <c r="E19" i="21"/>
  <c r="L8" i="21"/>
  <c r="L7" i="21"/>
  <c r="L19" i="21"/>
  <c r="K21" i="21"/>
  <c r="K15" i="21"/>
  <c r="K11" i="21"/>
  <c r="J8" i="21"/>
  <c r="J7" i="21"/>
  <c r="J11" i="21"/>
  <c r="I14" i="21"/>
  <c r="I17" i="21"/>
  <c r="I26" i="21"/>
  <c r="H12" i="21"/>
  <c r="H4" i="21"/>
  <c r="H20" i="21"/>
  <c r="G12" i="21"/>
  <c r="G6" i="21"/>
  <c r="G8" i="21"/>
  <c r="D3" i="21"/>
  <c r="F9" i="21"/>
  <c r="F6" i="21"/>
  <c r="E23" i="21"/>
  <c r="D16" i="21"/>
  <c r="F20" i="21"/>
  <c r="F21" i="21"/>
  <c r="E26" i="21"/>
  <c r="D27" i="21"/>
  <c r="L4" i="21"/>
  <c r="I8" i="21"/>
  <c r="F7" i="21"/>
  <c r="F15" i="21"/>
  <c r="L24" i="21"/>
  <c r="L15" i="21"/>
  <c r="L27" i="21"/>
  <c r="K22" i="21"/>
  <c r="K23" i="21"/>
  <c r="K19" i="21"/>
  <c r="J9" i="21"/>
  <c r="J15" i="21"/>
  <c r="J19" i="21"/>
  <c r="I22" i="21"/>
  <c r="I20" i="21"/>
  <c r="I11" i="21"/>
  <c r="H11" i="21"/>
  <c r="H3" i="21"/>
  <c r="H16" i="21"/>
  <c r="G20" i="21"/>
  <c r="G14" i="21"/>
  <c r="G16" i="21"/>
  <c r="F13" i="21"/>
  <c r="F18" i="21"/>
  <c r="D17" i="21"/>
  <c r="F19" i="21"/>
  <c r="D20" i="21"/>
  <c r="E21" i="21"/>
  <c r="E24" i="21"/>
  <c r="E25" i="21"/>
  <c r="E17" i="21"/>
  <c r="L23" i="21"/>
  <c r="J27" i="21"/>
  <c r="H24" i="21"/>
  <c r="E22" i="21"/>
  <c r="J16" i="16" l="1"/>
  <c r="K16" i="16"/>
  <c r="L16" i="16"/>
  <c r="I16" i="16"/>
  <c r="E20" i="19"/>
  <c r="E33" i="19"/>
  <c r="G37" i="20"/>
  <c r="E26" i="20"/>
  <c r="F14" i="20"/>
  <c r="E14" i="20"/>
  <c r="E22" i="19"/>
  <c r="E5" i="19"/>
  <c r="G33" i="20"/>
  <c r="E13" i="20"/>
  <c r="F11" i="20"/>
  <c r="E28" i="19"/>
  <c r="G21" i="20"/>
  <c r="E22" i="20"/>
  <c r="F29" i="20"/>
  <c r="F19" i="18"/>
  <c r="G29" i="18"/>
  <c r="G20" i="18"/>
  <c r="G31" i="18"/>
  <c r="G27" i="18"/>
  <c r="F16" i="18"/>
  <c r="E9" i="18"/>
  <c r="F13" i="18"/>
  <c r="G26" i="18"/>
  <c r="F28" i="18"/>
  <c r="E15" i="17"/>
  <c r="G36" i="18"/>
  <c r="E12" i="19"/>
  <c r="F35" i="20"/>
  <c r="E29" i="17"/>
  <c r="E33" i="17"/>
  <c r="F20" i="20"/>
  <c r="E10" i="19"/>
  <c r="G29" i="20"/>
  <c r="E23" i="20"/>
  <c r="F38" i="20"/>
  <c r="E35" i="20"/>
  <c r="E17" i="19"/>
  <c r="E18" i="19"/>
  <c r="G27" i="20"/>
  <c r="E19" i="19"/>
  <c r="G35" i="20"/>
  <c r="M11" i="19"/>
  <c r="G20" i="20"/>
  <c r="E25" i="20"/>
  <c r="F26" i="20"/>
  <c r="E28" i="18"/>
  <c r="F8" i="18"/>
  <c r="E29" i="18"/>
  <c r="G24" i="18"/>
  <c r="E25" i="18"/>
  <c r="G13" i="18"/>
  <c r="I33" i="18"/>
  <c r="G14" i="18"/>
  <c r="F11" i="18"/>
  <c r="F30" i="18"/>
  <c r="E19" i="18"/>
  <c r="I26" i="18"/>
  <c r="G11" i="18"/>
  <c r="G21" i="18"/>
  <c r="G12" i="18"/>
  <c r="E18" i="17"/>
  <c r="G23" i="18"/>
  <c r="I10" i="18"/>
  <c r="E15" i="20"/>
  <c r="E32" i="20"/>
  <c r="E15" i="18"/>
  <c r="G28" i="18"/>
  <c r="E22" i="18"/>
  <c r="F19" i="20"/>
  <c r="E30" i="19"/>
  <c r="G24" i="20"/>
  <c r="E29" i="19"/>
  <c r="G25" i="20"/>
  <c r="F23" i="20"/>
  <c r="B11" i="19"/>
  <c r="E13" i="19"/>
  <c r="G19" i="20"/>
  <c r="E7" i="19"/>
  <c r="G28" i="20"/>
  <c r="E32" i="19"/>
  <c r="E24" i="20"/>
  <c r="G14" i="20"/>
  <c r="F18" i="20"/>
  <c r="F12" i="18"/>
  <c r="E19" i="17"/>
  <c r="I29" i="18"/>
  <c r="E11" i="18"/>
  <c r="E12" i="18"/>
  <c r="E35" i="18"/>
  <c r="E36" i="18"/>
  <c r="E30" i="17"/>
  <c r="F17" i="18"/>
  <c r="E14" i="18"/>
  <c r="I17" i="18"/>
  <c r="F18" i="18"/>
  <c r="E33" i="18"/>
  <c r="G16" i="18"/>
  <c r="E34" i="18"/>
  <c r="E5" i="17"/>
  <c r="E17" i="18"/>
  <c r="G10" i="18"/>
  <c r="I28" i="18"/>
  <c r="F24" i="20"/>
  <c r="G23" i="20"/>
  <c r="F23" i="18"/>
  <c r="E31" i="18"/>
  <c r="F31" i="20"/>
  <c r="E23" i="19"/>
  <c r="G13" i="20"/>
  <c r="E6" i="19"/>
  <c r="G31" i="20"/>
  <c r="G18" i="20"/>
  <c r="F25" i="20"/>
  <c r="M5" i="19"/>
  <c r="G26" i="20"/>
  <c r="E16" i="19"/>
  <c r="G10" i="20"/>
  <c r="F27" i="20"/>
  <c r="E36" i="20"/>
  <c r="G11" i="20"/>
  <c r="G33" i="18"/>
  <c r="E9" i="17"/>
  <c r="F22" i="18"/>
  <c r="F32" i="18"/>
  <c r="F33" i="18"/>
  <c r="E8" i="18"/>
  <c r="F20" i="18"/>
  <c r="E26" i="17"/>
  <c r="G18" i="18"/>
  <c r="E10" i="17"/>
  <c r="I24" i="18"/>
  <c r="E20" i="18"/>
  <c r="E21" i="17"/>
  <c r="M17" i="17" s="1"/>
  <c r="H27" i="18"/>
  <c r="E21" i="18"/>
  <c r="I31" i="18"/>
  <c r="H19" i="18"/>
  <c r="E24" i="18"/>
  <c r="E27" i="18"/>
  <c r="I22" i="18"/>
  <c r="M12" i="17"/>
  <c r="E15" i="21"/>
  <c r="E20" i="20"/>
  <c r="F13" i="20"/>
  <c r="G12" i="20"/>
  <c r="E24" i="17"/>
  <c r="I30" i="18"/>
  <c r="E14" i="17"/>
  <c r="F36" i="20"/>
  <c r="E14" i="19"/>
  <c r="E37" i="20"/>
  <c r="E26" i="19"/>
  <c r="G15" i="20"/>
  <c r="G17" i="20"/>
  <c r="F22" i="20"/>
  <c r="F17" i="20"/>
  <c r="E27" i="20"/>
  <c r="E9" i="19"/>
  <c r="G22" i="20"/>
  <c r="F15" i="20"/>
  <c r="E19" i="20"/>
  <c r="E31" i="20"/>
  <c r="E18" i="18"/>
  <c r="E16" i="17"/>
  <c r="B11" i="17" s="1"/>
  <c r="F9" i="18"/>
  <c r="G8" i="18"/>
  <c r="G17" i="18"/>
  <c r="E7" i="17"/>
  <c r="J33" i="18"/>
  <c r="F29" i="18"/>
  <c r="E23" i="17"/>
  <c r="J27" i="18"/>
  <c r="E23" i="18"/>
  <c r="E13" i="17"/>
  <c r="J34" i="18"/>
  <c r="I9" i="18"/>
  <c r="G34" i="18"/>
  <c r="E12" i="17"/>
  <c r="F14" i="18"/>
  <c r="F27" i="18"/>
  <c r="I16" i="18"/>
  <c r="H31" i="18"/>
  <c r="F25" i="18"/>
  <c r="G32" i="18"/>
  <c r="J20" i="18"/>
  <c r="E20" i="17"/>
  <c r="H24" i="18"/>
  <c r="I2" i="17"/>
  <c r="I9" i="17"/>
  <c r="I20" i="17"/>
  <c r="I18" i="17"/>
  <c r="D25" i="21"/>
  <c r="E8" i="19"/>
  <c r="E12" i="20"/>
  <c r="F26" i="18"/>
  <c r="I11" i="18"/>
  <c r="E10" i="18"/>
  <c r="E6" i="17"/>
  <c r="E11" i="19"/>
  <c r="G34" i="20"/>
  <c r="F16" i="20"/>
  <c r="E16" i="20"/>
  <c r="M18" i="19"/>
  <c r="G38" i="20"/>
  <c r="E38" i="20"/>
  <c r="G32" i="20"/>
  <c r="F28" i="20"/>
  <c r="E18" i="20"/>
  <c r="F37" i="20"/>
  <c r="E33" i="20"/>
  <c r="F34" i="20"/>
  <c r="E34" i="20"/>
  <c r="E31" i="19"/>
  <c r="E30" i="20"/>
  <c r="F21" i="18"/>
  <c r="I35" i="18"/>
  <c r="G30" i="18"/>
  <c r="E25" i="17"/>
  <c r="E16" i="18"/>
  <c r="E17" i="17"/>
  <c r="J35" i="18"/>
  <c r="E26" i="18"/>
  <c r="E32" i="17"/>
  <c r="H14" i="18"/>
  <c r="E30" i="18"/>
  <c r="E8" i="17"/>
  <c r="J17" i="18"/>
  <c r="J26" i="18"/>
  <c r="G25" i="18"/>
  <c r="E11" i="17"/>
  <c r="G35" i="18"/>
  <c r="F24" i="18"/>
  <c r="I34" i="18"/>
  <c r="H12" i="18"/>
  <c r="G9" i="18"/>
  <c r="E22" i="17"/>
  <c r="J10" i="18"/>
  <c r="J15" i="18"/>
  <c r="H30" i="18"/>
  <c r="I33" i="17"/>
  <c r="I21" i="17"/>
  <c r="I10" i="17"/>
  <c r="I29" i="17"/>
  <c r="D22" i="21"/>
  <c r="E29" i="20"/>
  <c r="F21" i="20"/>
  <c r="I23" i="18"/>
  <c r="E13" i="18"/>
  <c r="G22" i="18"/>
  <c r="H25" i="18"/>
  <c r="E27" i="19"/>
  <c r="E10" i="20"/>
  <c r="F12" i="20"/>
  <c r="E28" i="20"/>
  <c r="F33" i="20"/>
  <c r="E21" i="20"/>
  <c r="E25" i="19"/>
  <c r="E21" i="19"/>
  <c r="F10" i="20"/>
  <c r="E11" i="20"/>
  <c r="F30" i="20"/>
  <c r="E15" i="19"/>
  <c r="G36" i="20"/>
  <c r="G30" i="20"/>
  <c r="F32" i="20"/>
  <c r="G19" i="18"/>
  <c r="E32" i="18"/>
  <c r="I20" i="18"/>
  <c r="F36" i="18"/>
  <c r="I27" i="18"/>
  <c r="F10" i="18"/>
  <c r="I19" i="18"/>
  <c r="H16" i="18"/>
  <c r="F34" i="18"/>
  <c r="I13" i="18"/>
  <c r="H36" i="18"/>
  <c r="G15" i="18"/>
  <c r="I8" i="18"/>
  <c r="H35" i="18"/>
  <c r="H18" i="18"/>
  <c r="F31" i="18"/>
  <c r="I18" i="18"/>
  <c r="F35" i="18"/>
  <c r="E28" i="17"/>
  <c r="J36" i="18"/>
  <c r="J28" i="18"/>
  <c r="F15" i="18"/>
  <c r="E31" i="17"/>
  <c r="H29" i="18"/>
  <c r="H26" i="18"/>
  <c r="H15" i="18"/>
  <c r="I25" i="17"/>
  <c r="I23" i="17"/>
  <c r="I27" i="17"/>
  <c r="I30" i="17"/>
  <c r="D13" i="21"/>
  <c r="E17" i="20"/>
  <c r="G16" i="20"/>
  <c r="E24" i="19"/>
  <c r="H22" i="18"/>
  <c r="E27" i="17"/>
  <c r="I12" i="18"/>
  <c r="I11" i="17"/>
  <c r="I36" i="18"/>
  <c r="I15" i="18"/>
  <c r="I32" i="18"/>
  <c r="I25" i="18"/>
  <c r="I21" i="18"/>
  <c r="I14" i="18"/>
  <c r="H13" i="18"/>
  <c r="H8" i="18"/>
  <c r="H21" i="18"/>
  <c r="H33" i="18"/>
  <c r="H23" i="18"/>
  <c r="H9" i="18"/>
  <c r="H28" i="18"/>
  <c r="H34" i="18"/>
  <c r="H32" i="18"/>
  <c r="H11" i="18"/>
  <c r="H17" i="18"/>
  <c r="H20" i="18"/>
  <c r="H10" i="18"/>
  <c r="J19" i="18"/>
  <c r="J29" i="18"/>
  <c r="J16" i="18"/>
  <c r="J25" i="18"/>
  <c r="J13" i="18"/>
  <c r="J11" i="18"/>
  <c r="J12" i="18"/>
  <c r="J9" i="18"/>
  <c r="J31" i="18"/>
  <c r="J32" i="18"/>
  <c r="J14" i="18"/>
  <c r="J30" i="18"/>
  <c r="J23" i="18"/>
  <c r="J24" i="18"/>
  <c r="J22" i="18"/>
  <c r="J21" i="18"/>
  <c r="J18" i="18"/>
  <c r="J8" i="18"/>
  <c r="I17" i="17"/>
  <c r="I13" i="17"/>
  <c r="I31" i="17"/>
  <c r="I22" i="17"/>
  <c r="I24" i="17"/>
  <c r="I14" i="17"/>
  <c r="I5" i="17"/>
  <c r="I19" i="17"/>
  <c r="I6" i="17"/>
  <c r="I16" i="17"/>
  <c r="I12" i="17"/>
  <c r="I8" i="17"/>
  <c r="I7" i="17"/>
  <c r="I26" i="17"/>
  <c r="I28" i="17"/>
  <c r="I32" i="17"/>
  <c r="I15" i="17"/>
  <c r="M17" i="19"/>
  <c r="M12" i="19"/>
  <c r="M19" i="19" l="1"/>
  <c r="F5" i="19"/>
  <c r="F16" i="19"/>
  <c r="F31" i="19"/>
  <c r="F12" i="19"/>
  <c r="F29" i="19"/>
  <c r="F9" i="19"/>
  <c r="F27" i="19"/>
  <c r="F11" i="19"/>
  <c r="F19" i="19"/>
  <c r="F7" i="19"/>
  <c r="F23" i="19"/>
  <c r="F15" i="19"/>
  <c r="F32" i="19"/>
  <c r="F17" i="19"/>
  <c r="F30" i="19"/>
  <c r="F24" i="19"/>
  <c r="F13" i="19"/>
  <c r="F33" i="19"/>
  <c r="F26" i="19"/>
  <c r="F10" i="19"/>
  <c r="F28" i="19"/>
  <c r="F25" i="19"/>
  <c r="F22" i="19"/>
  <c r="F8" i="19"/>
  <c r="F20" i="19"/>
  <c r="F21" i="19"/>
  <c r="F18" i="19"/>
  <c r="F6" i="19"/>
  <c r="F14" i="19"/>
  <c r="F9" i="17"/>
  <c r="F17" i="17"/>
  <c r="F25" i="17"/>
  <c r="F33" i="17"/>
  <c r="F10" i="17"/>
  <c r="F18" i="17"/>
  <c r="F26" i="17"/>
  <c r="F5" i="17"/>
  <c r="F11" i="17"/>
  <c r="F19" i="17"/>
  <c r="F27" i="17"/>
  <c r="F12" i="17"/>
  <c r="F20" i="17"/>
  <c r="F28" i="17"/>
  <c r="F13" i="17"/>
  <c r="F21" i="17"/>
  <c r="F29" i="17"/>
  <c r="F6" i="17"/>
  <c r="F14" i="17"/>
  <c r="F22" i="17"/>
  <c r="F30" i="17"/>
  <c r="F7" i="17"/>
  <c r="F15" i="17"/>
  <c r="N11" i="17" s="1"/>
  <c r="F23" i="17"/>
  <c r="F31" i="17"/>
  <c r="F8" i="17"/>
  <c r="F16" i="17"/>
  <c r="F24" i="17"/>
  <c r="F32" i="17"/>
  <c r="N11" i="19"/>
  <c r="N12" i="19"/>
  <c r="C5" i="16"/>
  <c r="M6" i="19"/>
  <c r="J6" i="17"/>
  <c r="G9" i="16"/>
  <c r="G22" i="16"/>
  <c r="H7" i="16"/>
  <c r="J17" i="17"/>
  <c r="J29" i="17"/>
  <c r="H6" i="16"/>
  <c r="M6" i="17"/>
  <c r="H13" i="16"/>
  <c r="J16" i="17"/>
  <c r="J26" i="17"/>
  <c r="J30" i="17"/>
  <c r="N5" i="17"/>
  <c r="J10" i="17"/>
  <c r="J18" i="17"/>
  <c r="H10" i="16"/>
  <c r="N5" i="19"/>
  <c r="J14" i="17"/>
  <c r="H5" i="16"/>
  <c r="J24" i="17"/>
  <c r="K2" i="16"/>
  <c r="K6" i="16" s="1"/>
  <c r="J12" i="17"/>
  <c r="J28" i="17"/>
  <c r="J27" i="17"/>
  <c r="G7" i="16"/>
  <c r="J21" i="17"/>
  <c r="J20" i="17"/>
  <c r="N17" i="17"/>
  <c r="H14" i="16"/>
  <c r="K5" i="16"/>
  <c r="K7" i="16"/>
  <c r="J8" i="17"/>
  <c r="J32" i="17"/>
  <c r="J23" i="17"/>
  <c r="H8" i="16"/>
  <c r="H21" i="16" s="1"/>
  <c r="J33" i="17"/>
  <c r="J9" i="17"/>
  <c r="J5" i="17"/>
  <c r="G8" i="16"/>
  <c r="K10" i="16"/>
  <c r="K13" i="16"/>
  <c r="N6" i="19"/>
  <c r="N18" i="17"/>
  <c r="K12" i="16"/>
  <c r="M18" i="17"/>
  <c r="J15" i="17"/>
  <c r="J25" i="17"/>
  <c r="M5" i="17"/>
  <c r="I2" i="16"/>
  <c r="I2" i="19"/>
  <c r="G2" i="17"/>
  <c r="H9" i="16"/>
  <c r="G13" i="16"/>
  <c r="O6" i="17"/>
  <c r="I17" i="19"/>
  <c r="I9" i="19"/>
  <c r="I29" i="19"/>
  <c r="I11" i="19"/>
  <c r="G27" i="17"/>
  <c r="G22" i="17"/>
  <c r="G30" i="17"/>
  <c r="K9" i="16"/>
  <c r="K4" i="16"/>
  <c r="H11" i="16"/>
  <c r="J31" i="17"/>
  <c r="I12" i="16"/>
  <c r="G29" i="17"/>
  <c r="N18" i="19"/>
  <c r="M11" i="17"/>
  <c r="G14" i="16"/>
  <c r="J7" i="17"/>
  <c r="N6" i="17"/>
  <c r="I9" i="16"/>
  <c r="G2" i="19"/>
  <c r="J13" i="17"/>
  <c r="H12" i="16"/>
  <c r="J2" i="16"/>
  <c r="I13" i="16"/>
  <c r="I5" i="19"/>
  <c r="I22" i="19"/>
  <c r="I31" i="19"/>
  <c r="G17" i="17"/>
  <c r="G24" i="17"/>
  <c r="G15" i="17"/>
  <c r="G21" i="17"/>
  <c r="G11" i="19"/>
  <c r="G12" i="19"/>
  <c r="G33" i="19"/>
  <c r="G9" i="19"/>
  <c r="J13" i="16"/>
  <c r="K14" i="16"/>
  <c r="G12" i="16"/>
  <c r="J19" i="17"/>
  <c r="I12" i="19"/>
  <c r="G27" i="19"/>
  <c r="G6" i="16"/>
  <c r="G10" i="16"/>
  <c r="L2" i="16"/>
  <c r="J11" i="17"/>
  <c r="N17" i="19"/>
  <c r="H4" i="16"/>
  <c r="G11" i="16"/>
  <c r="G4" i="16"/>
  <c r="J22" i="17"/>
  <c r="I4" i="16"/>
  <c r="O5" i="17"/>
  <c r="I8" i="16"/>
  <c r="I18" i="19"/>
  <c r="I7" i="19"/>
  <c r="I24" i="19"/>
  <c r="G25" i="17"/>
  <c r="G12" i="17"/>
  <c r="G28" i="17"/>
  <c r="G9" i="17"/>
  <c r="G7" i="19"/>
  <c r="G20" i="19"/>
  <c r="G6" i="19"/>
  <c r="J4" i="16"/>
  <c r="J9" i="16"/>
  <c r="K8" i="16"/>
  <c r="I15" i="19"/>
  <c r="G33" i="17"/>
  <c r="G30" i="19"/>
  <c r="J5" i="16"/>
  <c r="K11" i="16"/>
  <c r="G5" i="16"/>
  <c r="G10" i="17"/>
  <c r="G21" i="19"/>
  <c r="I5" i="16"/>
  <c r="I14" i="16"/>
  <c r="I7" i="16"/>
  <c r="I10" i="16"/>
  <c r="I11" i="16"/>
  <c r="I6" i="16"/>
  <c r="I8" i="19"/>
  <c r="I20" i="19"/>
  <c r="I28" i="19"/>
  <c r="I16" i="19"/>
  <c r="I26" i="19"/>
  <c r="I21" i="19"/>
  <c r="I33" i="19"/>
  <c r="I10" i="19"/>
  <c r="I14" i="19"/>
  <c r="I25" i="19"/>
  <c r="I27" i="19"/>
  <c r="I6" i="19"/>
  <c r="I30" i="19"/>
  <c r="I19" i="19"/>
  <c r="I32" i="19"/>
  <c r="I13" i="19"/>
  <c r="I23" i="19"/>
  <c r="G16" i="17"/>
  <c r="G23" i="17"/>
  <c r="G32" i="17"/>
  <c r="G14" i="17"/>
  <c r="G26" i="17"/>
  <c r="G13" i="17"/>
  <c r="G11" i="17"/>
  <c r="G20" i="17"/>
  <c r="G7" i="17"/>
  <c r="G5" i="17"/>
  <c r="G8" i="17"/>
  <c r="G18" i="17"/>
  <c r="G6" i="17"/>
  <c r="G19" i="17"/>
  <c r="G31" i="17"/>
  <c r="G19" i="19"/>
  <c r="G26" i="19"/>
  <c r="G24" i="19"/>
  <c r="G32" i="19"/>
  <c r="G13" i="19"/>
  <c r="G18" i="19"/>
  <c r="G8" i="19"/>
  <c r="G14" i="19"/>
  <c r="G15" i="19"/>
  <c r="G25" i="19"/>
  <c r="G23" i="19"/>
  <c r="G31" i="19"/>
  <c r="G16" i="19"/>
  <c r="G17" i="19"/>
  <c r="G29" i="19"/>
  <c r="G10" i="19"/>
  <c r="G28" i="19"/>
  <c r="G22" i="19"/>
  <c r="G5" i="19"/>
  <c r="J8" i="16"/>
  <c r="J6" i="16"/>
  <c r="J12" i="16"/>
  <c r="J10" i="16"/>
  <c r="J7" i="16"/>
  <c r="J11" i="16"/>
  <c r="J14" i="16"/>
  <c r="L6" i="16"/>
  <c r="L5" i="16"/>
  <c r="L8" i="16"/>
  <c r="L12" i="16"/>
  <c r="L7" i="16"/>
  <c r="L11" i="16"/>
  <c r="L4" i="16"/>
  <c r="L13" i="16"/>
  <c r="L9" i="16"/>
  <c r="L10" i="16"/>
  <c r="L14" i="16"/>
  <c r="M8" i="19" l="1"/>
  <c r="O8" i="17"/>
  <c r="N8" i="19"/>
  <c r="N19" i="19"/>
  <c r="M8" i="17"/>
  <c r="O11" i="17"/>
  <c r="M19" i="17"/>
  <c r="O12" i="17"/>
  <c r="N8" i="17"/>
  <c r="N12" i="17"/>
  <c r="N19" i="17"/>
  <c r="H24" i="19"/>
  <c r="J17" i="19"/>
  <c r="K26" i="16"/>
  <c r="H23" i="17"/>
  <c r="L27" i="16"/>
  <c r="I18" i="16"/>
  <c r="H26" i="17"/>
  <c r="H19" i="16"/>
  <c r="K19" i="16"/>
  <c r="H5" i="17"/>
  <c r="H24" i="16"/>
  <c r="H30" i="19"/>
  <c r="J13" i="19"/>
  <c r="H27" i="16"/>
  <c r="H7" i="19"/>
  <c r="I21" i="16"/>
  <c r="H10" i="17"/>
  <c r="H17" i="19"/>
  <c r="H11" i="19"/>
  <c r="J31" i="19"/>
  <c r="H27" i="17"/>
  <c r="H25" i="19"/>
  <c r="K24" i="16"/>
  <c r="G20" i="16"/>
  <c r="H32" i="19"/>
  <c r="I20" i="16"/>
  <c r="K23" i="16"/>
  <c r="H32" i="17"/>
  <c r="L18" i="16"/>
  <c r="K20" i="16"/>
  <c r="H13" i="17"/>
  <c r="H20" i="16"/>
  <c r="J20" i="16"/>
  <c r="H8" i="17"/>
  <c r="H23" i="16"/>
  <c r="H5" i="19"/>
  <c r="J23" i="19"/>
  <c r="H12" i="19"/>
  <c r="H9" i="17"/>
  <c r="I19" i="16"/>
  <c r="J8" i="19"/>
  <c r="H27" i="19"/>
  <c r="H15" i="17"/>
  <c r="P5" i="17"/>
  <c r="K21" i="16"/>
  <c r="H8" i="19"/>
  <c r="I25" i="16"/>
  <c r="H19" i="17"/>
  <c r="H25" i="17"/>
  <c r="J32" i="19"/>
  <c r="H21" i="19"/>
  <c r="H30" i="17"/>
  <c r="L22" i="16"/>
  <c r="J25" i="16"/>
  <c r="J20" i="19"/>
  <c r="L17" i="16"/>
  <c r="K18" i="16"/>
  <c r="H11" i="17"/>
  <c r="H18" i="16"/>
  <c r="J24" i="16"/>
  <c r="J27" i="19"/>
  <c r="H21" i="17"/>
  <c r="H33" i="17"/>
  <c r="I27" i="16"/>
  <c r="H17" i="17"/>
  <c r="H28" i="17"/>
  <c r="O18" i="17"/>
  <c r="H9" i="19"/>
  <c r="H13" i="19"/>
  <c r="P5" i="19" s="1"/>
  <c r="I26" i="16"/>
  <c r="J6" i="19"/>
  <c r="H6" i="17"/>
  <c r="H12" i="17"/>
  <c r="H29" i="17"/>
  <c r="K22" i="16"/>
  <c r="J16" i="19"/>
  <c r="J33" i="19"/>
  <c r="H10" i="19"/>
  <c r="L26" i="16"/>
  <c r="L25" i="16"/>
  <c r="H18" i="17"/>
  <c r="K17" i="16"/>
  <c r="H22" i="17"/>
  <c r="G27" i="16"/>
  <c r="H18" i="19"/>
  <c r="J28" i="19"/>
  <c r="H25" i="16"/>
  <c r="J23" i="16"/>
  <c r="J21" i="19"/>
  <c r="G21" i="16"/>
  <c r="H29" i="19"/>
  <c r="G17" i="16"/>
  <c r="L24" i="16"/>
  <c r="L19" i="16"/>
  <c r="G19" i="16"/>
  <c r="G24" i="16"/>
  <c r="G26" i="16"/>
  <c r="J30" i="19"/>
  <c r="J22" i="16"/>
  <c r="H14" i="17"/>
  <c r="H20" i="19"/>
  <c r="O5" i="19"/>
  <c r="J19" i="16"/>
  <c r="J11" i="19"/>
  <c r="L23" i="16"/>
  <c r="H14" i="19"/>
  <c r="J26" i="19"/>
  <c r="H22" i="16"/>
  <c r="H23" i="19"/>
  <c r="J10" i="19"/>
  <c r="J26" i="16"/>
  <c r="H28" i="19"/>
  <c r="J19" i="19"/>
  <c r="J27" i="16"/>
  <c r="H31" i="17"/>
  <c r="L20" i="16"/>
  <c r="J17" i="16"/>
  <c r="J24" i="19"/>
  <c r="H26" i="16"/>
  <c r="K25" i="16"/>
  <c r="J25" i="19"/>
  <c r="J9" i="19"/>
  <c r="H16" i="17"/>
  <c r="P6" i="17" s="1"/>
  <c r="H24" i="17"/>
  <c r="I17" i="16"/>
  <c r="H7" i="17"/>
  <c r="H22" i="19"/>
  <c r="J12" i="19"/>
  <c r="H17" i="16"/>
  <c r="H19" i="19"/>
  <c r="J29" i="19"/>
  <c r="K27" i="16"/>
  <c r="H15" i="19"/>
  <c r="P6" i="19" s="1"/>
  <c r="I24" i="16"/>
  <c r="H33" i="19"/>
  <c r="H31" i="19"/>
  <c r="J14" i="19"/>
  <c r="J22" i="19"/>
  <c r="H20" i="17"/>
  <c r="I23" i="16"/>
  <c r="J18" i="16"/>
  <c r="J15" i="19"/>
  <c r="G25" i="16"/>
  <c r="H6" i="19"/>
  <c r="J7" i="19"/>
  <c r="L21" i="16"/>
  <c r="J21" i="16"/>
  <c r="I22" i="16"/>
  <c r="O6" i="19"/>
  <c r="H26" i="19"/>
  <c r="J5" i="19"/>
  <c r="O17" i="17"/>
  <c r="H16" i="19"/>
  <c r="G23" i="16"/>
  <c r="G18" i="16"/>
  <c r="J18" i="19"/>
  <c r="P8" i="17" l="1"/>
  <c r="P8" i="19"/>
  <c r="O8" i="19"/>
  <c r="P11" i="17"/>
  <c r="P11" i="19"/>
  <c r="O11" i="19"/>
  <c r="O12" i="19"/>
  <c r="O19" i="17"/>
  <c r="P12" i="17"/>
  <c r="P12" i="19"/>
  <c r="O17" i="19"/>
  <c r="P17" i="17"/>
  <c r="P18" i="19"/>
  <c r="P18" i="17"/>
  <c r="O18" i="19"/>
  <c r="P17" i="19"/>
  <c r="P19" i="19" l="1"/>
  <c r="O19" i="19"/>
  <c r="P19" i="17"/>
</calcChain>
</file>

<file path=xl/sharedStrings.xml><?xml version="1.0" encoding="utf-8"?>
<sst xmlns="http://schemas.openxmlformats.org/spreadsheetml/2006/main" count="124" uniqueCount="54">
  <si>
    <t>K</t>
  </si>
  <si>
    <t>epsilon</t>
  </si>
  <si>
    <t>ttm</t>
  </si>
  <si>
    <t>Bachelier</t>
  </si>
  <si>
    <t>F</t>
  </si>
  <si>
    <t>Black</t>
  </si>
  <si>
    <t>ATM black vol</t>
  </si>
  <si>
    <t>ATM bachelier</t>
  </si>
  <si>
    <t>SLN</t>
  </si>
  <si>
    <t>beta</t>
  </si>
  <si>
    <t>ATM SLN vol</t>
  </si>
  <si>
    <t xml:space="preserve">Bachelier </t>
  </si>
  <si>
    <t xml:space="preserve">Black </t>
  </si>
  <si>
    <t>alpha</t>
  </si>
  <si>
    <t>rho</t>
  </si>
  <si>
    <t>nu</t>
  </si>
  <si>
    <t>t</t>
  </si>
  <si>
    <t>Market ivol</t>
  </si>
  <si>
    <t>Black ivol</t>
  </si>
  <si>
    <t>SLN ivol</t>
  </si>
  <si>
    <t>atm opt price</t>
  </si>
  <si>
    <t>Bach price</t>
  </si>
  <si>
    <t>Bach ivol</t>
  </si>
  <si>
    <t>calibration</t>
  </si>
  <si>
    <t>SLN price</t>
  </si>
  <si>
    <t>shift</t>
  </si>
  <si>
    <t>market price</t>
  </si>
  <si>
    <t>black price</t>
  </si>
  <si>
    <t>bach pirce</t>
  </si>
  <si>
    <t>digi @ 12</t>
  </si>
  <si>
    <t>T=0.5</t>
  </si>
  <si>
    <t>T=1</t>
  </si>
  <si>
    <t>T=2</t>
  </si>
  <si>
    <t>call spread</t>
  </si>
  <si>
    <t>black ivol</t>
  </si>
  <si>
    <t>bach ivol</t>
  </si>
  <si>
    <t>approx. ATM vol</t>
  </si>
  <si>
    <t>alpha(0)</t>
  </si>
  <si>
    <t>SABR ivol</t>
  </si>
  <si>
    <t>F^(1-beta)</t>
  </si>
  <si>
    <t>atm vol</t>
  </si>
  <si>
    <t>beta=0.1</t>
  </si>
  <si>
    <t>beta=0.3</t>
  </si>
  <si>
    <t>beta=0.5</t>
  </si>
  <si>
    <t>S</t>
  </si>
  <si>
    <t>r</t>
  </si>
  <si>
    <t>q</t>
  </si>
  <si>
    <t>H</t>
  </si>
  <si>
    <t>vol</t>
  </si>
  <si>
    <t>UO</t>
  </si>
  <si>
    <t>UI</t>
  </si>
  <si>
    <t>European</t>
  </si>
  <si>
    <t>beta=1</t>
  </si>
  <si>
    <t>beta=0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</si>
</sst>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0.0"/>
    <numFmt numFmtId="166" formatCode="0.00000"/>
    <numFmt numFmtId="167" formatCode="0.0%"/>
    <numFmt numFmtId="168" formatCode="0.000000"/>
    <numFmt numFmtId="169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0" borderId="0" xfId="1" applyNumberFormat="1" applyFont="1"/>
    <xf numFmtId="10" fontId="0" fillId="0" borderId="0" xfId="0" applyNumberFormat="1"/>
    <xf numFmtId="168" fontId="0" fillId="0" borderId="0" xfId="0" applyNumberFormat="1"/>
    <xf numFmtId="166" fontId="0" fillId="2" borderId="0" xfId="0" applyNumberFormat="1" applyFill="1"/>
    <xf numFmtId="169" fontId="0" fillId="0" borderId="0" xfId="1" applyNumberFormat="1" applyFont="1"/>
    <xf numFmtId="9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/>
    <xf numFmtId="166" fontId="0" fillId="3" borderId="0" xfId="0" applyNumberFormat="1" applyFill="1"/>
    <xf numFmtId="11" fontId="0" fillId="0" borderId="0" xfId="0" applyNumberFormat="1"/>
    <xf numFmtId="10" fontId="0" fillId="0" borderId="0" xfId="1" applyNumberFormat="1" applyFont="1"/>
    <xf numFmtId="10" fontId="0" fillId="2" borderId="0" xfId="0" applyNumberFormat="1" applyFill="1"/>
    <xf numFmtId="10" fontId="0" fillId="2" borderId="0" xfId="1" applyNumberFormat="1" applyFont="1" applyFill="1"/>
    <xf numFmtId="10" fontId="0" fillId="0" borderId="0" xfId="1" applyNumberFormat="1" applyFont="1" applyFill="1"/>
    <xf numFmtId="0" fontId="0" fillId="4" borderId="0" xfId="0" applyFill="1"/>
    <xf numFmtId="2" fontId="0" fillId="0" borderId="0" xfId="0" applyNumberFormat="1"/>
    <xf numFmtId="0" fontId="2" fillId="0" borderId="0" xfId="0" applyFont="1" applyFill="1"/>
    <xf numFmtId="10" fontId="2" fillId="0" borderId="0" xfId="1" applyNumberFormat="1" applyFont="1" applyFill="1"/>
    <xf numFmtId="0" fontId="2" fillId="0" borderId="0" xfId="0" applyNumberFormat="1" applyFont="1" applyFill="1"/>
    <xf numFmtId="2" fontId="2" fillId="0" borderId="0" xfId="1" applyNumberFormat="1" applyFont="1" applyFill="1"/>
    <xf numFmtId="11" fontId="0" fillId="0" borderId="0" xfId="0" applyNumberFormat="1" applyFill="1"/>
    <xf numFmtId="0" fontId="0" fillId="0" borderId="0" xfId="0" applyFill="1"/>
    <xf numFmtId="169" fontId="2" fillId="0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'implied distribution'!$E$9</c:f>
              <c:strCache>
                <c:ptCount val="1"/>
                <c:pt idx="0">
                  <c:v>beta=0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distribution'!$E$10:$E$38</c:f>
              <c:numCache>
                <c:formatCode>0.00%</c:formatCode>
                <c:ptCount val="29"/>
                <c:pt idx="0">
                  <c:v>0.30670329206934649</c:v>
                </c:pt>
                <c:pt idx="1">
                  <c:v>0.29144199083191336</c:v>
                </c:pt>
                <c:pt idx="2">
                  <c:v>0.27818307455881047</c:v>
                </c:pt>
                <c:pt idx="3">
                  <c:v>0.26651046471960238</c:v>
                </c:pt>
                <c:pt idx="4">
                  <c:v>0.25612224424949287</c:v>
                </c:pt>
                <c:pt idx="5">
                  <c:v>0.2467928040843522</c:v>
                </c:pt>
                <c:pt idx="6">
                  <c:v>0.23834940686730929</c:v>
                </c:pt>
                <c:pt idx="7">
                  <c:v>0.23065706041051273</c:v>
                </c:pt>
                <c:pt idx="8">
                  <c:v>0.22360840874719837</c:v>
                </c:pt>
                <c:pt idx="9">
                  <c:v>0.21711677402311849</c:v>
                </c:pt>
                <c:pt idx="10">
                  <c:v>0.21111124370464593</c:v>
                </c:pt>
                <c:pt idx="11">
                  <c:v>0.20553312454506023</c:v>
                </c:pt>
                <c:pt idx="12">
                  <c:v>0.20033321557549166</c:v>
                </c:pt>
                <c:pt idx="13">
                  <c:v>0.19547043970636235</c:v>
                </c:pt>
                <c:pt idx="14">
                  <c:v>0.19090918702723161</c:v>
                </c:pt>
                <c:pt idx="15">
                  <c:v>0.18661934073318176</c:v>
                </c:pt>
                <c:pt idx="16">
                  <c:v>0.18257479789204492</c:v>
                </c:pt>
                <c:pt idx="17">
                  <c:v>0.17875288117551424</c:v>
                </c:pt>
                <c:pt idx="18">
                  <c:v>0.17513377637741476</c:v>
                </c:pt>
                <c:pt idx="19">
                  <c:v>0.17170007962929482</c:v>
                </c:pt>
                <c:pt idx="20">
                  <c:v>0.16843642975958151</c:v>
                </c:pt>
                <c:pt idx="21">
                  <c:v>0.16532920742939189</c:v>
                </c:pt>
                <c:pt idx="22">
                  <c:v>0.16236628704615347</c:v>
                </c:pt>
                <c:pt idx="23">
                  <c:v>0.15953683084227152</c:v>
                </c:pt>
                <c:pt idx="24">
                  <c:v>0.15683111682370243</c:v>
                </c:pt>
                <c:pt idx="25">
                  <c:v>0.15424039418164992</c:v>
                </c:pt>
                <c:pt idx="26">
                  <c:v>0.1517567611067358</c:v>
                </c:pt>
                <c:pt idx="27">
                  <c:v>0.14937306098593972</c:v>
                </c:pt>
                <c:pt idx="28">
                  <c:v>0.1470827937965474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E-4A87-BC3C-346B7FC77786}"/>
            </c:ext>
          </c:extLst>
        </c:ser>
        <c:ser>
          <c:idx val="1"/>
          <c:order val="1"/>
          <c:tx>
            <c:strRef>
              <c:f>'implied distribution'!$F$9</c:f>
              <c:strCache>
                <c:ptCount val="1"/>
                <c:pt idx="0">
                  <c:v>beta=0.5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distribution'!$F$10:$F$38</c:f>
              <c:numCache>
                <c:formatCode>0.00%</c:formatCode>
                <c:ptCount val="29"/>
                <c:pt idx="0">
                  <c:v>0.2494648940746842</c:v>
                </c:pt>
                <c:pt idx="1">
                  <c:v>0.24272575427985443</c:v>
                </c:pt>
                <c:pt idx="2">
                  <c:v>0.23679470220444365</c:v>
                </c:pt>
                <c:pt idx="3">
                  <c:v>0.23150883837033864</c:v>
                </c:pt>
                <c:pt idx="4">
                  <c:v>0.22674926895159409</c:v>
                </c:pt>
                <c:pt idx="5">
                  <c:v>0.22242666660047442</c:v>
                </c:pt>
                <c:pt idx="6">
                  <c:v>0.21847228501155275</c:v>
                </c:pt>
                <c:pt idx="7">
                  <c:v>0.21483213363191353</c:v>
                </c:pt>
                <c:pt idx="8">
                  <c:v>0.21146306922981775</c:v>
                </c:pt>
                <c:pt idx="9">
                  <c:v>0.20833009589825294</c:v>
                </c:pt>
                <c:pt idx="10">
                  <c:v>0.20540445224827489</c:v>
                </c:pt>
                <c:pt idx="11">
                  <c:v>0.20266222636359033</c:v>
                </c:pt>
                <c:pt idx="12">
                  <c:v>0.2000832166795356</c:v>
                </c:pt>
                <c:pt idx="13">
                  <c:v>0.19765074743685607</c:v>
                </c:pt>
                <c:pt idx="14">
                  <c:v>0.19534991673237243</c:v>
                </c:pt>
                <c:pt idx="15">
                  <c:v>0.19316831060147063</c:v>
                </c:pt>
                <c:pt idx="16">
                  <c:v>0.19109506561229261</c:v>
                </c:pt>
                <c:pt idx="17">
                  <c:v>0.18912070529727512</c:v>
                </c:pt>
                <c:pt idx="18">
                  <c:v>0.18723691610870713</c:v>
                </c:pt>
                <c:pt idx="19">
                  <c:v>0.18543636659011345</c:v>
                </c:pt>
                <c:pt idx="20">
                  <c:v>0.18371256017768062</c:v>
                </c:pt>
                <c:pt idx="21">
                  <c:v>0.18205971442227034</c:v>
                </c:pt>
                <c:pt idx="22">
                  <c:v>0.18047266117813651</c:v>
                </c:pt>
                <c:pt idx="23">
                  <c:v>0.17894676350597205</c:v>
                </c:pt>
                <c:pt idx="24">
                  <c:v>0.17747784609988762</c:v>
                </c:pt>
                <c:pt idx="25">
                  <c:v>0.17606213667162202</c:v>
                </c:pt>
                <c:pt idx="26">
                  <c:v>0.17469621628597989</c:v>
                </c:pt>
                <c:pt idx="27">
                  <c:v>0.17337697707482305</c:v>
                </c:pt>
                <c:pt idx="28">
                  <c:v>0.172101586048616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E-4A87-BC3C-346B7FC77786}"/>
            </c:ext>
          </c:extLst>
        </c:ser>
        <c:ser>
          <c:idx val="2"/>
          <c:order val="2"/>
          <c:tx>
            <c:strRef>
              <c:f>'implied distribution'!$G$9</c:f>
              <c:strCache>
                <c:ptCount val="1"/>
                <c:pt idx="0">
                  <c:v>beta=1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distribution'!$G$10:$G$38</c:f>
              <c:numCache>
                <c:formatCode>0.00%</c:formatCode>
                <c:ptCount val="29"/>
                <c:pt idx="0">
                  <c:v>0.2000000000714359</c:v>
                </c:pt>
                <c:pt idx="1">
                  <c:v>0.20000000005446883</c:v>
                </c:pt>
                <c:pt idx="2">
                  <c:v>0.20000000004189819</c:v>
                </c:pt>
                <c:pt idx="3">
                  <c:v>0.20000000003117047</c:v>
                </c:pt>
                <c:pt idx="4">
                  <c:v>0.20000000002456364</c:v>
                </c:pt>
                <c:pt idx="5">
                  <c:v>0.20000000001688009</c:v>
                </c:pt>
                <c:pt idx="6">
                  <c:v>0.20000000001195328</c:v>
                </c:pt>
                <c:pt idx="7">
                  <c:v>0.20000000000738943</c:v>
                </c:pt>
                <c:pt idx="8">
                  <c:v>0.2000000000072529</c:v>
                </c:pt>
                <c:pt idx="9">
                  <c:v>0.20000000000905302</c:v>
                </c:pt>
                <c:pt idx="10">
                  <c:v>0.20000000000234994</c:v>
                </c:pt>
                <c:pt idx="11">
                  <c:v>0.19999999999744766</c:v>
                </c:pt>
                <c:pt idx="12">
                  <c:v>0.19999988343643982</c:v>
                </c:pt>
                <c:pt idx="13">
                  <c:v>0.20000000000602017</c:v>
                </c:pt>
                <c:pt idx="14">
                  <c:v>0.19999999999798668</c:v>
                </c:pt>
                <c:pt idx="15">
                  <c:v>0.20000000000200988</c:v>
                </c:pt>
                <c:pt idx="16">
                  <c:v>0.20000000000397053</c:v>
                </c:pt>
                <c:pt idx="17">
                  <c:v>0.20000000000589344</c:v>
                </c:pt>
                <c:pt idx="18">
                  <c:v>0.20000000000542251</c:v>
                </c:pt>
                <c:pt idx="19">
                  <c:v>0.20000000000850407</c:v>
                </c:pt>
                <c:pt idx="20">
                  <c:v>0.20000000000891935</c:v>
                </c:pt>
                <c:pt idx="21">
                  <c:v>0.20000000001420173</c:v>
                </c:pt>
                <c:pt idx="22">
                  <c:v>0.20000000001352805</c:v>
                </c:pt>
                <c:pt idx="23">
                  <c:v>0.20000000001765264</c:v>
                </c:pt>
                <c:pt idx="24">
                  <c:v>0.20000000001920937</c:v>
                </c:pt>
                <c:pt idx="25">
                  <c:v>0.2000000000229229</c:v>
                </c:pt>
                <c:pt idx="26">
                  <c:v>0.20000000002380514</c:v>
                </c:pt>
                <c:pt idx="27">
                  <c:v>0.20000000002684118</c:v>
                </c:pt>
                <c:pt idx="28">
                  <c:v>0.20000000002928556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4E-4A87-BC3C-346B7FC77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'implied distribution'!$H$9</c:f>
              <c:strCache>
                <c:ptCount val="1"/>
                <c:pt idx="0">
                  <c:v>beta=0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distribution'!$H$10:$H$38</c:f>
              <c:numCache>
                <c:formatCode>0.000%</c:formatCode>
                <c:ptCount val="29"/>
                <c:pt idx="0">
                  <c:v>2.0700065282449644E-3</c:v>
                </c:pt>
                <c:pt idx="1">
                  <c:v>4.421518748738959E-3</c:v>
                </c:pt>
                <c:pt idx="2">
                  <c:v>8.9233115651105449E-3</c:v>
                </c:pt>
                <c:pt idx="3">
                  <c:v>1.7025170148445901E-2</c:v>
                </c:pt>
                <c:pt idx="4">
                  <c:v>3.0731830453850417E-2</c:v>
                </c:pt>
                <c:pt idx="5">
                  <c:v>5.2529952023716242E-2</c:v>
                </c:pt>
                <c:pt idx="6">
                  <c:v>8.5116841989407499E-2</c:v>
                </c:pt>
                <c:pt idx="7">
                  <c:v>0.13091006628824053</c:v>
                </c:pt>
                <c:pt idx="8">
                  <c:v>0.19140141569362834</c:v>
                </c:pt>
                <c:pt idx="9">
                  <c:v>0.26651509776770599</c:v>
                </c:pt>
                <c:pt idx="10">
                  <c:v>0.35419073877906904</c:v>
                </c:pt>
                <c:pt idx="11">
                  <c:v>0.45039126029956311</c:v>
                </c:pt>
                <c:pt idx="12">
                  <c:v>0.54961249452119632</c:v>
                </c:pt>
                <c:pt idx="13">
                  <c:v>0.64581010306857678</c:v>
                </c:pt>
                <c:pt idx="14">
                  <c:v>0.73348428444847791</c:v>
                </c:pt>
                <c:pt idx="15">
                  <c:v>0.80859657550368169</c:v>
                </c:pt>
                <c:pt idx="16">
                  <c:v>0.86908712369866592</c:v>
                </c:pt>
                <c:pt idx="17">
                  <c:v>0.91488036828421215</c:v>
                </c:pt>
                <c:pt idx="18">
                  <c:v>0.94746799335578658</c:v>
                </c:pt>
                <c:pt idx="19">
                  <c:v>0.96926722947743826</c:v>
                </c:pt>
                <c:pt idx="20">
                  <c:v>0.98297500026218643</c:v>
                </c:pt>
                <c:pt idx="21">
                  <c:v>0.99107768545372465</c:v>
                </c:pt>
                <c:pt idx="22">
                  <c:v>0.99557990961467269</c:v>
                </c:pt>
                <c:pt idx="23">
                  <c:v>0.99793149409696014</c:v>
                </c:pt>
                <c:pt idx="24">
                  <c:v>0.99908608613325356</c:v>
                </c:pt>
                <c:pt idx="25">
                  <c:v>0.99961896694623675</c:v>
                </c:pt>
                <c:pt idx="26">
                  <c:v>0.9998501543116447</c:v>
                </c:pt>
                <c:pt idx="27">
                  <c:v>0.99994443644811426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C9-47F9-AED5-9098BC49A6E1}"/>
            </c:ext>
          </c:extLst>
        </c:ser>
        <c:ser>
          <c:idx val="1"/>
          <c:order val="1"/>
          <c:tx>
            <c:strRef>
              <c:f>'implied distribution'!$I$9</c:f>
              <c:strCache>
                <c:ptCount val="1"/>
                <c:pt idx="0">
                  <c:v>beta=0.5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distribution'!$I$10:$I$38</c:f>
              <c:numCache>
                <c:formatCode>0.000%</c:formatCode>
                <c:ptCount val="29"/>
                <c:pt idx="0">
                  <c:v>3.3725831392170612E-4</c:v>
                </c:pt>
                <c:pt idx="1">
                  <c:v>1.2131040139063609E-3</c:v>
                </c:pt>
                <c:pt idx="2">
                  <c:v>3.6456116799169977E-3</c:v>
                </c:pt>
                <c:pt idx="3">
                  <c:v>9.390951105895301E-3</c:v>
                </c:pt>
                <c:pt idx="4">
                  <c:v>2.1166854540246971E-2</c:v>
                </c:pt>
                <c:pt idx="5">
                  <c:v>4.2458071326072377E-2</c:v>
                </c:pt>
                <c:pt idx="6">
                  <c:v>7.6876025973190432E-2</c:v>
                </c:pt>
                <c:pt idx="7">
                  <c:v>0.12718307667389639</c:v>
                </c:pt>
                <c:pt idx="8">
                  <c:v>0.19430322892929741</c:v>
                </c:pt>
                <c:pt idx="9">
                  <c:v>0.27671202742566958</c:v>
                </c:pt>
                <c:pt idx="10">
                  <c:v>0.37047235587251226</c:v>
                </c:pt>
                <c:pt idx="11">
                  <c:v>0.46992614546421441</c:v>
                </c:pt>
                <c:pt idx="12">
                  <c:v>0.56879947927648555</c:v>
                </c:pt>
                <c:pt idx="13">
                  <c:v>0.66135542245458012</c:v>
                </c:pt>
                <c:pt idx="14">
                  <c:v>0.74328198816819402</c:v>
                </c:pt>
                <c:pt idx="15">
                  <c:v>0.8121019233588278</c:v>
                </c:pt>
                <c:pt idx="16">
                  <c:v>0.8671461967449936</c:v>
                </c:pt>
                <c:pt idx="17">
                  <c:v>0.90919046645485224</c:v>
                </c:pt>
                <c:pt idx="18">
                  <c:v>0.93994167773166737</c:v>
                </c:pt>
                <c:pt idx="19">
                  <c:v>0.96153075304226121</c:v>
                </c:pt>
                <c:pt idx="20">
                  <c:v>0.97611161416631731</c:v>
                </c:pt>
                <c:pt idx="21">
                  <c:v>0.98560425963287202</c:v>
                </c:pt>
                <c:pt idx="22">
                  <c:v>0.99157255624134066</c:v>
                </c:pt>
                <c:pt idx="23">
                  <c:v>0.99520259670800471</c:v>
                </c:pt>
                <c:pt idx="24">
                  <c:v>0.99734179619807506</c:v>
                </c:pt>
                <c:pt idx="25">
                  <c:v>0.99856499992770509</c:v>
                </c:pt>
                <c:pt idx="26">
                  <c:v>0.99924457339429651</c:v>
                </c:pt>
                <c:pt idx="27">
                  <c:v>0.99961185967119803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C9-47F9-AED5-9098BC49A6E1}"/>
            </c:ext>
          </c:extLst>
        </c:ser>
        <c:ser>
          <c:idx val="2"/>
          <c:order val="2"/>
          <c:tx>
            <c:strRef>
              <c:f>'implied distribution'!$J$9</c:f>
              <c:strCache>
                <c:ptCount val="1"/>
                <c:pt idx="0">
                  <c:v>beta=1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distribution'!$J$10:$J$38</c:f>
              <c:numCache>
                <c:formatCode>0.000%</c:formatCode>
                <c:ptCount val="29"/>
                <c:pt idx="0">
                  <c:v>1.8557250728829085E-5</c:v>
                </c:pt>
                <c:pt idx="1">
                  <c:v>1.6889481396222228E-4</c:v>
                </c:pt>
                <c:pt idx="2">
                  <c:v>9.8403358588184742E-4</c:v>
                </c:pt>
                <c:pt idx="3">
                  <c:v>4.0497069831600327E-3</c:v>
                </c:pt>
                <c:pt idx="4">
                  <c:v>1.265795444554918E-2</c:v>
                </c:pt>
                <c:pt idx="5">
                  <c:v>3.1741662561892037E-2</c:v>
                </c:pt>
                <c:pt idx="6">
                  <c:v>6.6615189878488468E-2</c:v>
                </c:pt>
                <c:pt idx="7">
                  <c:v>0.12094873339655687</c:v>
                </c:pt>
                <c:pt idx="8">
                  <c:v>0.19507770406233504</c:v>
                </c:pt>
                <c:pt idx="9">
                  <c:v>0.28555801649430634</c:v>
                </c:pt>
                <c:pt idx="10">
                  <c:v>0.3860865894899197</c:v>
                </c:pt>
                <c:pt idx="11">
                  <c:v>0.48920536542965032</c:v>
                </c:pt>
                <c:pt idx="12">
                  <c:v>0.58800709224724124</c:v>
                </c:pt>
                <c:pt idx="13">
                  <c:v>0.67728349390837295</c:v>
                </c:pt>
                <c:pt idx="14">
                  <c:v>0.75398694369529728</c:v>
                </c:pt>
                <c:pt idx="15">
                  <c:v>0.8170706301761097</c:v>
                </c:pt>
                <c:pt idx="16">
                  <c:v>0.86702261619226029</c:v>
                </c:pt>
                <c:pt idx="17">
                  <c:v>0.90529194488380327</c:v>
                </c:pt>
                <c:pt idx="18">
                  <c:v>0.93377806747897196</c:v>
                </c:pt>
                <c:pt idx="19">
                  <c:v>0.95445409970851713</c:v>
                </c:pt>
                <c:pt idx="20">
                  <c:v>0.96913342441298767</c:v>
                </c:pt>
                <c:pt idx="21">
                  <c:v>0.97935514986129846</c:v>
                </c:pt>
                <c:pt idx="22">
                  <c:v>0.98635267014889649</c:v>
                </c:pt>
                <c:pt idx="23">
                  <c:v>0.99107177478014918</c:v>
                </c:pt>
                <c:pt idx="24">
                  <c:v>0.99421267523997514</c:v>
                </c:pt>
                <c:pt idx="25">
                  <c:v>0.99627908839492818</c:v>
                </c:pt>
                <c:pt idx="26">
                  <c:v>0.99762481435240957</c:v>
                </c:pt>
                <c:pt idx="27">
                  <c:v>0.99849339559669659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C9-47F9-AED5-9098BC49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8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'implied distribution'!$H$9</c:f>
              <c:strCache>
                <c:ptCount val="1"/>
                <c:pt idx="0">
                  <c:v>beta=0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distribution'!$H$10:$H$38</c:f>
              <c:numCache>
                <c:formatCode>0.000%</c:formatCode>
                <c:ptCount val="29"/>
                <c:pt idx="0">
                  <c:v>2.0700065282449644E-3</c:v>
                </c:pt>
                <c:pt idx="1">
                  <c:v>4.421518748738959E-3</c:v>
                </c:pt>
                <c:pt idx="2">
                  <c:v>8.9233115651105449E-3</c:v>
                </c:pt>
                <c:pt idx="3">
                  <c:v>1.7025170148445901E-2</c:v>
                </c:pt>
                <c:pt idx="4">
                  <c:v>3.0731830453850417E-2</c:v>
                </c:pt>
                <c:pt idx="5">
                  <c:v>5.2529952023716242E-2</c:v>
                </c:pt>
                <c:pt idx="6">
                  <c:v>8.5116841989407499E-2</c:v>
                </c:pt>
                <c:pt idx="7">
                  <c:v>0.13091006628824053</c:v>
                </c:pt>
                <c:pt idx="8">
                  <c:v>0.19140141569362834</c:v>
                </c:pt>
                <c:pt idx="9">
                  <c:v>0.26651509776770599</c:v>
                </c:pt>
                <c:pt idx="10">
                  <c:v>0.35419073877906904</c:v>
                </c:pt>
                <c:pt idx="11">
                  <c:v>0.45039126029956311</c:v>
                </c:pt>
                <c:pt idx="12">
                  <c:v>0.54961249452119632</c:v>
                </c:pt>
                <c:pt idx="13">
                  <c:v>0.64581010306857678</c:v>
                </c:pt>
                <c:pt idx="14">
                  <c:v>0.73348428444847791</c:v>
                </c:pt>
                <c:pt idx="15">
                  <c:v>0.80859657550368169</c:v>
                </c:pt>
                <c:pt idx="16">
                  <c:v>0.86908712369866592</c:v>
                </c:pt>
                <c:pt idx="17">
                  <c:v>0.91488036828421215</c:v>
                </c:pt>
                <c:pt idx="18">
                  <c:v>0.94746799335578658</c:v>
                </c:pt>
                <c:pt idx="19">
                  <c:v>0.96926722947743826</c:v>
                </c:pt>
                <c:pt idx="20">
                  <c:v>0.98297500026218643</c:v>
                </c:pt>
                <c:pt idx="21">
                  <c:v>0.99107768545372465</c:v>
                </c:pt>
                <c:pt idx="22">
                  <c:v>0.99557990961467269</c:v>
                </c:pt>
                <c:pt idx="23">
                  <c:v>0.99793149409696014</c:v>
                </c:pt>
                <c:pt idx="24">
                  <c:v>0.99908608613325356</c:v>
                </c:pt>
                <c:pt idx="25">
                  <c:v>0.99961896694623675</c:v>
                </c:pt>
                <c:pt idx="26">
                  <c:v>0.9998501543116447</c:v>
                </c:pt>
                <c:pt idx="27">
                  <c:v>0.99994443644811426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4-45F9-B88F-FA034743FA03}"/>
            </c:ext>
          </c:extLst>
        </c:ser>
        <c:ser>
          <c:idx val="1"/>
          <c:order val="1"/>
          <c:tx>
            <c:strRef>
              <c:f>'implied distribution'!$I$9</c:f>
              <c:strCache>
                <c:ptCount val="1"/>
                <c:pt idx="0">
                  <c:v>beta=0.5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distribution'!$I$10:$I$38</c:f>
              <c:numCache>
                <c:formatCode>0.000%</c:formatCode>
                <c:ptCount val="29"/>
                <c:pt idx="0">
                  <c:v>3.3725831392170612E-4</c:v>
                </c:pt>
                <c:pt idx="1">
                  <c:v>1.2131040139063609E-3</c:v>
                </c:pt>
                <c:pt idx="2">
                  <c:v>3.6456116799169977E-3</c:v>
                </c:pt>
                <c:pt idx="3">
                  <c:v>9.390951105895301E-3</c:v>
                </c:pt>
                <c:pt idx="4">
                  <c:v>2.1166854540246971E-2</c:v>
                </c:pt>
                <c:pt idx="5">
                  <c:v>4.2458071326072377E-2</c:v>
                </c:pt>
                <c:pt idx="6">
                  <c:v>7.6876025973190432E-2</c:v>
                </c:pt>
                <c:pt idx="7">
                  <c:v>0.12718307667389639</c:v>
                </c:pt>
                <c:pt idx="8">
                  <c:v>0.19430322892929741</c:v>
                </c:pt>
                <c:pt idx="9">
                  <c:v>0.27671202742566958</c:v>
                </c:pt>
                <c:pt idx="10">
                  <c:v>0.37047235587251226</c:v>
                </c:pt>
                <c:pt idx="11">
                  <c:v>0.46992614546421441</c:v>
                </c:pt>
                <c:pt idx="12">
                  <c:v>0.56879947927648555</c:v>
                </c:pt>
                <c:pt idx="13">
                  <c:v>0.66135542245458012</c:v>
                </c:pt>
                <c:pt idx="14">
                  <c:v>0.74328198816819402</c:v>
                </c:pt>
                <c:pt idx="15">
                  <c:v>0.8121019233588278</c:v>
                </c:pt>
                <c:pt idx="16">
                  <c:v>0.8671461967449936</c:v>
                </c:pt>
                <c:pt idx="17">
                  <c:v>0.90919046645485224</c:v>
                </c:pt>
                <c:pt idx="18">
                  <c:v>0.93994167773166737</c:v>
                </c:pt>
                <c:pt idx="19">
                  <c:v>0.96153075304226121</c:v>
                </c:pt>
                <c:pt idx="20">
                  <c:v>0.97611161416631731</c:v>
                </c:pt>
                <c:pt idx="21">
                  <c:v>0.98560425963287202</c:v>
                </c:pt>
                <c:pt idx="22">
                  <c:v>0.99157255624134066</c:v>
                </c:pt>
                <c:pt idx="23">
                  <c:v>0.99520259670800471</c:v>
                </c:pt>
                <c:pt idx="24">
                  <c:v>0.99734179619807506</c:v>
                </c:pt>
                <c:pt idx="25">
                  <c:v>0.99856499992770509</c:v>
                </c:pt>
                <c:pt idx="26">
                  <c:v>0.99924457339429651</c:v>
                </c:pt>
                <c:pt idx="27">
                  <c:v>0.99961185967119803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4-45F9-B88F-FA034743FA03}"/>
            </c:ext>
          </c:extLst>
        </c:ser>
        <c:ser>
          <c:idx val="2"/>
          <c:order val="2"/>
          <c:tx>
            <c:strRef>
              <c:f>'implied distribution'!$J$9</c:f>
              <c:strCache>
                <c:ptCount val="1"/>
                <c:pt idx="0">
                  <c:v>beta=1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'implied distribution'!$D$10:$D$38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'implied distribution'!$J$10:$J$38</c:f>
              <c:numCache>
                <c:formatCode>0.000%</c:formatCode>
                <c:ptCount val="29"/>
                <c:pt idx="0">
                  <c:v>1.8557250728829085E-5</c:v>
                </c:pt>
                <c:pt idx="1">
                  <c:v>1.6889481396222228E-4</c:v>
                </c:pt>
                <c:pt idx="2">
                  <c:v>9.8403358588184742E-4</c:v>
                </c:pt>
                <c:pt idx="3">
                  <c:v>4.0497069831600327E-3</c:v>
                </c:pt>
                <c:pt idx="4">
                  <c:v>1.265795444554918E-2</c:v>
                </c:pt>
                <c:pt idx="5">
                  <c:v>3.1741662561892037E-2</c:v>
                </c:pt>
                <c:pt idx="6">
                  <c:v>6.6615189878488468E-2</c:v>
                </c:pt>
                <c:pt idx="7">
                  <c:v>0.12094873339655687</c:v>
                </c:pt>
                <c:pt idx="8">
                  <c:v>0.19507770406233504</c:v>
                </c:pt>
                <c:pt idx="9">
                  <c:v>0.28555801649430634</c:v>
                </c:pt>
                <c:pt idx="10">
                  <c:v>0.3860865894899197</c:v>
                </c:pt>
                <c:pt idx="11">
                  <c:v>0.48920536542965032</c:v>
                </c:pt>
                <c:pt idx="12">
                  <c:v>0.58800709224724124</c:v>
                </c:pt>
                <c:pt idx="13">
                  <c:v>0.67728349390837295</c:v>
                </c:pt>
                <c:pt idx="14">
                  <c:v>0.75398694369529728</c:v>
                </c:pt>
                <c:pt idx="15">
                  <c:v>0.8170706301761097</c:v>
                </c:pt>
                <c:pt idx="16">
                  <c:v>0.86702261619226029</c:v>
                </c:pt>
                <c:pt idx="17">
                  <c:v>0.90529194488380327</c:v>
                </c:pt>
                <c:pt idx="18">
                  <c:v>0.93377806747897196</c:v>
                </c:pt>
                <c:pt idx="19">
                  <c:v>0.95445409970851713</c:v>
                </c:pt>
                <c:pt idx="20">
                  <c:v>0.96913342441298767</c:v>
                </c:pt>
                <c:pt idx="21">
                  <c:v>0.97935514986129846</c:v>
                </c:pt>
                <c:pt idx="22">
                  <c:v>0.98635267014889649</c:v>
                </c:pt>
                <c:pt idx="23">
                  <c:v>0.99107177478014918</c:v>
                </c:pt>
                <c:pt idx="24">
                  <c:v>0.99421267523997514</c:v>
                </c:pt>
                <c:pt idx="25">
                  <c:v>0.99627908839492818</c:v>
                </c:pt>
                <c:pt idx="26">
                  <c:v>0.99762481435240957</c:v>
                </c:pt>
                <c:pt idx="27">
                  <c:v>0.99849339559669659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4-45F9-B88F-FA034743F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Option</a:t>
            </a:r>
            <a:r>
              <a:rPr lang="en-SG" baseline="0"/>
              <a:t> Price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'Barrier options'!$D$2</c:f>
              <c:strCache>
                <c:ptCount val="1"/>
                <c:pt idx="0">
                  <c:v>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options'!$D$3:$D$27</c:f>
              <c:numCache>
                <c:formatCode>0.0</c:formatCode>
                <c:ptCount val="25"/>
                <c:pt idx="0">
                  <c:v>1.8091190893675176E-60</c:v>
                </c:pt>
                <c:pt idx="1">
                  <c:v>9.9951500779772064E-42</c:v>
                </c:pt>
                <c:pt idx="2">
                  <c:v>1.4289939206232788E-30</c:v>
                </c:pt>
                <c:pt idx="3">
                  <c:v>3.8702967940300768E-23</c:v>
                </c:pt>
                <c:pt idx="4">
                  <c:v>7.4687947673209917E-18</c:v>
                </c:pt>
                <c:pt idx="5">
                  <c:v>6.2047268081425716E-14</c:v>
                </c:pt>
                <c:pt idx="6">
                  <c:v>6.0794495561553991E-11</c:v>
                </c:pt>
                <c:pt idx="7">
                  <c:v>1.29870816637408E-8</c:v>
                </c:pt>
                <c:pt idx="8">
                  <c:v>9.010602045351174E-7</c:v>
                </c:pt>
                <c:pt idx="9">
                  <c:v>2.6628637122505558E-5</c:v>
                </c:pt>
                <c:pt idx="10">
                  <c:v>4.0594683274086191E-4</c:v>
                </c:pt>
                <c:pt idx="11">
                  <c:v>3.6695806887475134E-3</c:v>
                </c:pt>
                <c:pt idx="12">
                  <c:v>2.1817383209162409E-2</c:v>
                </c:pt>
                <c:pt idx="13">
                  <c:v>9.2267260649598837E-2</c:v>
                </c:pt>
                <c:pt idx="14">
                  <c:v>0.29464320301568964</c:v>
                </c:pt>
                <c:pt idx="15">
                  <c:v>0.74366325493283536</c:v>
                </c:pt>
                <c:pt idx="16">
                  <c:v>1.535839388170182</c:v>
                </c:pt>
                <c:pt idx="17">
                  <c:v>2.6633019562557529</c:v>
                </c:pt>
                <c:pt idx="18">
                  <c:v>3.9494560357332449</c:v>
                </c:pt>
                <c:pt idx="19">
                  <c:v>5.0640353229050765</c:v>
                </c:pt>
                <c:pt idx="20">
                  <c:v>5.6285502272834531</c:v>
                </c:pt>
                <c:pt idx="21">
                  <c:v>5.362947284814501</c:v>
                </c:pt>
                <c:pt idx="22">
                  <c:v>4.1975892540312962</c:v>
                </c:pt>
                <c:pt idx="23">
                  <c:v>2.2979198280393121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4-4B68-9D7E-E17D0C3C1684}"/>
            </c:ext>
          </c:extLst>
        </c:ser>
        <c:ser>
          <c:idx val="1"/>
          <c:order val="1"/>
          <c:tx>
            <c:strRef>
              <c:f>'Barrier options'!$G$2</c:f>
              <c:strCache>
                <c:ptCount val="1"/>
                <c:pt idx="0">
                  <c:v>UI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options'!$G$3:$G$27</c:f>
              <c:numCache>
                <c:formatCode>0.0</c:formatCode>
                <c:ptCount val="25"/>
                <c:pt idx="0">
                  <c:v>2.6601407137582249E-72</c:v>
                </c:pt>
                <c:pt idx="1">
                  <c:v>2.0496716809773024E-51</c:v>
                </c:pt>
                <c:pt idx="2">
                  <c:v>9.5233972038049236E-39</c:v>
                </c:pt>
                <c:pt idx="3">
                  <c:v>3.7680655282491141E-30</c:v>
                </c:pt>
                <c:pt idx="4">
                  <c:v>6.3941754100601871E-24</c:v>
                </c:pt>
                <c:pt idx="5">
                  <c:v>3.2839903093028885E-19</c:v>
                </c:pt>
                <c:pt idx="6">
                  <c:v>1.5337700630473409E-15</c:v>
                </c:pt>
                <c:pt idx="7">
                  <c:v>1.2776165688673316E-12</c:v>
                </c:pt>
                <c:pt idx="8">
                  <c:v>2.9432611865499465E-10</c:v>
                </c:pt>
                <c:pt idx="9">
                  <c:v>2.5300227052305248E-8</c:v>
                </c:pt>
                <c:pt idx="10">
                  <c:v>1.0034948743681187E-6</c:v>
                </c:pt>
                <c:pt idx="11">
                  <c:v>2.1450268460181229E-5</c:v>
                </c:pt>
                <c:pt idx="12">
                  <c:v>2.7762647554896138E-4</c:v>
                </c:pt>
                <c:pt idx="13">
                  <c:v>2.3789396919358919E-3</c:v>
                </c:pt>
                <c:pt idx="14">
                  <c:v>1.4471272874823381E-2</c:v>
                </c:pt>
                <c:pt idx="15">
                  <c:v>6.6056266072421668E-2</c:v>
                </c:pt>
                <c:pt idx="16">
                  <c:v>0.2366117122986155</c:v>
                </c:pt>
                <c:pt idx="17">
                  <c:v>0.68987826850625522</c:v>
                </c:pt>
                <c:pt idx="18">
                  <c:v>1.6877417439684188</c:v>
                </c:pt>
                <c:pt idx="19">
                  <c:v>3.5539385234113992</c:v>
                </c:pt>
                <c:pt idx="20">
                  <c:v>6.5826962062896275</c:v>
                </c:pt>
                <c:pt idx="21">
                  <c:v>10.927040523661995</c:v>
                </c:pt>
                <c:pt idx="22">
                  <c:v>16.522823263824424</c:v>
                </c:pt>
                <c:pt idx="23">
                  <c:v>23.088473266823833</c:v>
                </c:pt>
                <c:pt idx="24">
                  <c:v>30.199700106318694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4-4B68-9D7E-E17D0C3C1684}"/>
            </c:ext>
          </c:extLst>
        </c:ser>
        <c:ser>
          <c:idx val="2"/>
          <c:order val="2"/>
          <c:tx>
            <c:strRef>
              <c:f>'Barrier options'!$J$2</c:f>
              <c:strCache>
                <c:ptCount val="1"/>
                <c:pt idx="0">
                  <c:v>European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options'!$J$3:$J$27</c:f>
              <c:numCache>
                <c:formatCode>0.0</c:formatCode>
                <c:ptCount val="25"/>
                <c:pt idx="0">
                  <c:v>1.8091190893701778E-60</c:v>
                </c:pt>
                <c:pt idx="1">
                  <c:v>9.9951500800268785E-42</c:v>
                </c:pt>
                <c:pt idx="2">
                  <c:v>1.4289939301466761E-30</c:v>
                </c:pt>
                <c:pt idx="3">
                  <c:v>3.8702971708366295E-23</c:v>
                </c:pt>
                <c:pt idx="4">
                  <c:v>7.468801161496402E-18</c:v>
                </c:pt>
                <c:pt idx="5">
                  <c:v>6.2047596480456645E-14</c:v>
                </c:pt>
                <c:pt idx="6">
                  <c:v>6.0796029331617032E-11</c:v>
                </c:pt>
                <c:pt idx="7">
                  <c:v>1.2988359280309668E-8</c:v>
                </c:pt>
                <c:pt idx="8">
                  <c:v>9.013545306537724E-7</c:v>
                </c:pt>
                <c:pt idx="9">
                  <c:v>2.6653937349557863E-5</c:v>
                </c:pt>
                <c:pt idx="10">
                  <c:v>4.0695032761523003E-4</c:v>
                </c:pt>
                <c:pt idx="11">
                  <c:v>3.6910309572076947E-3</c:v>
                </c:pt>
                <c:pt idx="12">
                  <c:v>2.209500968471137E-2</c:v>
                </c:pt>
                <c:pt idx="13">
                  <c:v>9.4646200341534731E-2</c:v>
                </c:pt>
                <c:pt idx="14">
                  <c:v>0.309114475890513</c:v>
                </c:pt>
                <c:pt idx="15">
                  <c:v>0.80971952100525701</c:v>
                </c:pt>
                <c:pt idx="16">
                  <c:v>1.7724511004687975</c:v>
                </c:pt>
                <c:pt idx="17">
                  <c:v>3.3531802247620082</c:v>
                </c:pt>
                <c:pt idx="18">
                  <c:v>5.6371977797016637</c:v>
                </c:pt>
                <c:pt idx="19">
                  <c:v>8.6179738463164757</c:v>
                </c:pt>
                <c:pt idx="20">
                  <c:v>12.211246433573081</c:v>
                </c:pt>
                <c:pt idx="21">
                  <c:v>16.289987808476496</c:v>
                </c:pt>
                <c:pt idx="22">
                  <c:v>20.720412517855721</c:v>
                </c:pt>
                <c:pt idx="23">
                  <c:v>25.386393094863145</c:v>
                </c:pt>
                <c:pt idx="24">
                  <c:v>30.199700106318694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4-4B68-9D7E-E17D0C3C1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777775"/>
        <c:axId val="442690959"/>
      </c:scatterChart>
      <c:valAx>
        <c:axId val="54677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spot</a:t>
                </a:r>
                <a:r>
                  <a:rPr lang="en-SG" baseline="0"/>
                  <a:t> price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0959"/>
        <c:crosses val="autoZero"/>
        <c:crossBetween val="midCat"/>
      </c:valAx>
      <c:valAx>
        <c:axId val="44269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77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Option</a:t>
            </a:r>
            <a:r>
              <a:rPr lang="en-SG" baseline="0"/>
              <a:t> Delta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'Barrier options'!$E$2</c:f>
              <c:strCache>
                <c:ptCount val="1"/>
                <c:pt idx="0">
                  <c:v>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options'!$E$3:$E$27</c:f>
              <c:numCache>
                <c:formatCode>0.0</c:formatCode>
                <c:ptCount val="25"/>
                <c:pt idx="0">
                  <c:v>2.1074116888316703E-59</c:v>
                </c:pt>
                <c:pt idx="1">
                  <c:v>6.4231052537108995E-41</c:v>
                </c:pt>
                <c:pt idx="2">
                  <c:v>5.8722555116886622E-30</c:v>
                </c:pt>
                <c:pt idx="3">
                  <c:v>1.1024992088149113E-22</c:v>
                </c:pt>
                <c:pt idx="4">
                  <c:v>1.5509450130230808E-17</c:v>
                </c:pt>
                <c:pt idx="5">
                  <c:v>9.7155011649603096E-14</c:v>
                </c:pt>
                <c:pt idx="6">
                  <c:v>7.3504204020517467E-11</c:v>
                </c:pt>
                <c:pt idx="7">
                  <c:v>1.2332978795880766E-8</c:v>
                </c:pt>
                <c:pt idx="8">
                  <c:v>6.8039061027565989E-7</c:v>
                </c:pt>
                <c:pt idx="9">
                  <c:v>1.6128018295123573E-5</c:v>
                </c:pt>
                <c:pt idx="10">
                  <c:v>1.9835383511742925E-4</c:v>
                </c:pt>
                <c:pt idx="11">
                  <c:v>1.4511186588721939E-3</c:v>
                </c:pt>
                <c:pt idx="12">
                  <c:v>6.9858359796545746E-3</c:v>
                </c:pt>
                <c:pt idx="13">
                  <c:v>2.3857893433065765E-2</c:v>
                </c:pt>
                <c:pt idx="14">
                  <c:v>6.1099624021343495E-2</c:v>
                </c:pt>
                <c:pt idx="15">
                  <c:v>0.12204245378177879</c:v>
                </c:pt>
                <c:pt idx="16">
                  <c:v>0.19481233810569873</c:v>
                </c:pt>
                <c:pt idx="17">
                  <c:v>0.25024250491778588</c:v>
                </c:pt>
                <c:pt idx="18">
                  <c:v>0.25283211617654899</c:v>
                </c:pt>
                <c:pt idx="19">
                  <c:v>0.17985363860439915</c:v>
                </c:pt>
                <c:pt idx="20">
                  <c:v>3.6216484566864438E-2</c:v>
                </c:pt>
                <c:pt idx="21">
                  <c:v>-0.14486100159416537</c:v>
                </c:pt>
                <c:pt idx="22">
                  <c:v>-0.3155305609681136</c:v>
                </c:pt>
                <c:pt idx="23">
                  <c:v>-0.43273020189360517</c:v>
                </c:pt>
                <c:pt idx="24">
                  <c:v>-0.47294077933912598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7-4457-975B-4EB72DE1AE57}"/>
            </c:ext>
          </c:extLst>
        </c:ser>
        <c:ser>
          <c:idx val="1"/>
          <c:order val="1"/>
          <c:tx>
            <c:strRef>
              <c:f>'Barrier options'!$H$2</c:f>
              <c:strCache>
                <c:ptCount val="1"/>
                <c:pt idx="0">
                  <c:v>UI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options'!$H$3:$H$27</c:f>
              <c:numCache>
                <c:formatCode>0.0</c:formatCode>
                <c:ptCount val="25"/>
                <c:pt idx="0">
                  <c:v>3.423635238897303E-71</c:v>
                </c:pt>
                <c:pt idx="1">
                  <c:v>1.4830237622523332E-50</c:v>
                </c:pt>
                <c:pt idx="2">
                  <c:v>4.4877155405255772E-38</c:v>
                </c:pt>
                <c:pt idx="3">
                  <c:v>1.2538095247834954E-29</c:v>
                </c:pt>
                <c:pt idx="4">
                  <c:v>1.5808260948582521E-23</c:v>
                </c:pt>
                <c:pt idx="5">
                  <c:v>6.2453532613311547E-19</c:v>
                </c:pt>
                <c:pt idx="6">
                  <c:v>2.3002190104769582E-15</c:v>
                </c:pt>
                <c:pt idx="7">
                  <c:v>1.5390389389839328E-12</c:v>
                </c:pt>
                <c:pt idx="8">
                  <c:v>2.8875733810173204E-10</c:v>
                </c:pt>
                <c:pt idx="9">
                  <c:v>2.0428806855388912E-8</c:v>
                </c:pt>
                <c:pt idx="10">
                  <c:v>6.7217459142880772E-7</c:v>
                </c:pt>
                <c:pt idx="11">
                  <c:v>1.1988783484503396E-5</c:v>
                </c:pt>
                <c:pt idx="12">
                  <c:v>1.3000056162039853E-4</c:v>
                </c:pt>
                <c:pt idx="13">
                  <c:v>9.3565017446079607E-4</c:v>
                </c:pt>
                <c:pt idx="14">
                  <c:v>4.7861614782540585E-3</c:v>
                </c:pt>
                <c:pt idx="15">
                  <c:v>1.8369200129736418E-2</c:v>
                </c:pt>
                <c:pt idx="16">
                  <c:v>5.524775019416505E-2</c:v>
                </c:pt>
                <c:pt idx="17">
                  <c:v>0.13490551570294329</c:v>
                </c:pt>
                <c:pt idx="18">
                  <c:v>0.27535387290278379</c:v>
                </c:pt>
                <c:pt idx="19">
                  <c:v>0.48133497165814271</c:v>
                </c:pt>
                <c:pt idx="20">
                  <c:v>0.73554348922755242</c:v>
                </c:pt>
                <c:pt idx="21">
                  <c:v>1.0000558404499316</c:v>
                </c:pt>
                <c:pt idx="22">
                  <c:v>1.228602746472518</c:v>
                </c:pt>
                <c:pt idx="23">
                  <c:v>1.3831127184005252</c:v>
                </c:pt>
                <c:pt idx="24">
                  <c:v>1.4458827347851864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07-4457-975B-4EB72DE1AE57}"/>
            </c:ext>
          </c:extLst>
        </c:ser>
        <c:ser>
          <c:idx val="2"/>
          <c:order val="2"/>
          <c:tx>
            <c:strRef>
              <c:f>'Barrier options'!$K$2</c:f>
              <c:strCache>
                <c:ptCount val="1"/>
                <c:pt idx="0">
                  <c:v>European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options'!$K$3:$K$27</c:f>
              <c:numCache>
                <c:formatCode>0.0</c:formatCode>
                <c:ptCount val="25"/>
                <c:pt idx="0">
                  <c:v>2.1074121738706775E-59</c:v>
                </c:pt>
                <c:pt idx="1">
                  <c:v>6.4231057251163556E-41</c:v>
                </c:pt>
                <c:pt idx="2">
                  <c:v>5.8722557714026929E-30</c:v>
                </c:pt>
                <c:pt idx="3">
                  <c:v>1.1024993516324791E-22</c:v>
                </c:pt>
                <c:pt idx="4">
                  <c:v>1.5509465988538267E-17</c:v>
                </c:pt>
                <c:pt idx="5">
                  <c:v>9.7155634720849915E-14</c:v>
                </c:pt>
                <c:pt idx="6">
                  <c:v>7.3506503760916561E-11</c:v>
                </c:pt>
                <c:pt idx="7">
                  <c:v>1.2334517748966072E-8</c:v>
                </c:pt>
                <c:pt idx="8">
                  <c:v>6.806793744588183E-7</c:v>
                </c:pt>
                <c:pt idx="9">
                  <c:v>1.6148447106320238E-5</c:v>
                </c:pt>
                <c:pt idx="10">
                  <c:v>1.9902600926238702E-4</c:v>
                </c:pt>
                <c:pt idx="11">
                  <c:v>1.4631074381731002E-3</c:v>
                </c:pt>
                <c:pt idx="12">
                  <c:v>7.1158365574572335E-3</c:v>
                </c:pt>
                <c:pt idx="13">
                  <c:v>2.4793543549686548E-2</c:v>
                </c:pt>
                <c:pt idx="14">
                  <c:v>6.588578555843938E-2</c:v>
                </c:pt>
                <c:pt idx="15">
                  <c:v>0.14041165384226506</c:v>
                </c:pt>
                <c:pt idx="16">
                  <c:v>0.25006008822270331</c:v>
                </c:pt>
                <c:pt idx="17">
                  <c:v>0.38514802002342918</c:v>
                </c:pt>
                <c:pt idx="18">
                  <c:v>0.52818598885728818</c:v>
                </c:pt>
                <c:pt idx="19">
                  <c:v>0.66118860956088099</c:v>
                </c:pt>
                <c:pt idx="20">
                  <c:v>0.77175997303058352</c:v>
                </c:pt>
                <c:pt idx="21">
                  <c:v>0.85519483866036694</c:v>
                </c:pt>
                <c:pt idx="22">
                  <c:v>0.91307218472280738</c:v>
                </c:pt>
                <c:pt idx="23">
                  <c:v>0.95038251631152093</c:v>
                </c:pt>
                <c:pt idx="24">
                  <c:v>0.97294195548158768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07-4457-975B-4EB72DE1A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777775"/>
        <c:axId val="442690959"/>
      </c:scatterChart>
      <c:valAx>
        <c:axId val="54677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spot</a:t>
                </a:r>
                <a:r>
                  <a:rPr lang="en-SG" baseline="0"/>
                  <a:t> price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0959"/>
        <c:crosses val="autoZero"/>
        <c:crossBetween val="midCat"/>
      </c:valAx>
      <c:valAx>
        <c:axId val="44269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77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Option</a:t>
            </a:r>
            <a:r>
              <a:rPr lang="en-SG" baseline="0"/>
              <a:t> Vega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'Barrier options'!$F$2</c:f>
              <c:strCache>
                <c:ptCount val="1"/>
                <c:pt idx="0">
                  <c:v>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options'!$F$3:$F$27</c:f>
              <c:numCache>
                <c:formatCode>0.0</c:formatCode>
                <c:ptCount val="25"/>
                <c:pt idx="0">
                  <c:v>2.4353013513321409E-57</c:v>
                </c:pt>
                <c:pt idx="1">
                  <c:v>9.1733211502128453E-39</c:v>
                </c:pt>
                <c:pt idx="2">
                  <c:v>9.4938658246593332E-28</c:v>
                </c:pt>
                <c:pt idx="3">
                  <c:v>1.9218215575568513E-20</c:v>
                </c:pt>
                <c:pt idx="4">
                  <c:v>2.8233563388397446E-15</c:v>
                </c:pt>
                <c:pt idx="5">
                  <c:v>1.8043532832983737E-11</c:v>
                </c:pt>
                <c:pt idx="6">
                  <c:v>1.3670063427388693E-8</c:v>
                </c:pt>
                <c:pt idx="7">
                  <c:v>2.2605689083155302E-6</c:v>
                </c:pt>
                <c:pt idx="8">
                  <c:v>1.2114773321144253E-4</c:v>
                </c:pt>
                <c:pt idx="9">
                  <c:v>2.7509656198679657E-3</c:v>
                </c:pt>
                <c:pt idx="10">
                  <c:v>3.1950602004702587E-2</c:v>
                </c:pt>
                <c:pt idx="11">
                  <c:v>0.21729018043015277</c:v>
                </c:pt>
                <c:pt idx="12">
                  <c:v>0.95424712069028939</c:v>
                </c:pt>
                <c:pt idx="13">
                  <c:v>2.899323793927044</c:v>
                </c:pt>
                <c:pt idx="14">
                  <c:v>6.3624885935920075</c:v>
                </c:pt>
                <c:pt idx="15">
                  <c:v>10.203167932343327</c:v>
                </c:pt>
                <c:pt idx="16">
                  <c:v>11.356434309506279</c:v>
                </c:pt>
                <c:pt idx="17">
                  <c:v>6.1557663441957891</c:v>
                </c:pt>
                <c:pt idx="18">
                  <c:v>-6.9163560876939192</c:v>
                </c:pt>
                <c:pt idx="19">
                  <c:v>-25.086443239485941</c:v>
                </c:pt>
                <c:pt idx="20">
                  <c:v>-41.729807125445717</c:v>
                </c:pt>
                <c:pt idx="21">
                  <c:v>-49.455380627261285</c:v>
                </c:pt>
                <c:pt idx="22">
                  <c:v>-43.878510545880538</c:v>
                </c:pt>
                <c:pt idx="23">
                  <c:v>-25.724625527345776</c:v>
                </c:pt>
                <c:pt idx="24">
                  <c:v>-0.23649715323870166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98-41DE-A31A-D6F48118A5C2}"/>
            </c:ext>
          </c:extLst>
        </c:ser>
        <c:ser>
          <c:idx val="1"/>
          <c:order val="1"/>
          <c:tx>
            <c:strRef>
              <c:f>'Barrier options'!$I$2</c:f>
              <c:strCache>
                <c:ptCount val="1"/>
                <c:pt idx="0">
                  <c:v>UI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options'!$I$3:$I$27</c:f>
              <c:numCache>
                <c:formatCode>0.0</c:formatCode>
                <c:ptCount val="25"/>
                <c:pt idx="0">
                  <c:v>4.4057869634062899E-69</c:v>
                </c:pt>
                <c:pt idx="1">
                  <c:v>2.4073196426339711E-48</c:v>
                </c:pt>
                <c:pt idx="2">
                  <c:v>8.4117659534288403E-36</c:v>
                </c:pt>
                <c:pt idx="3">
                  <c:v>2.5855137305876483E-27</c:v>
                </c:pt>
                <c:pt idx="4">
                  <c:v>3.4766958483142188E-21</c:v>
                </c:pt>
                <c:pt idx="5">
                  <c:v>1.4329286061266799E-16</c:v>
                </c:pt>
                <c:pt idx="6">
                  <c:v>5.4135132799492239E-13</c:v>
                </c:pt>
                <c:pt idx="7">
                  <c:v>3.6645664783938331E-10</c:v>
                </c:pt>
                <c:pt idx="8">
                  <c:v>6.874451531180765E-8</c:v>
                </c:pt>
                <c:pt idx="9">
                  <c:v>4.8113425344572016E-6</c:v>
                </c:pt>
                <c:pt idx="10">
                  <c:v>1.5505743098949198E-4</c:v>
                </c:pt>
                <c:pt idx="11">
                  <c:v>2.6825060384583618E-3</c:v>
                </c:pt>
                <c:pt idx="12">
                  <c:v>2.7936431593739149E-2</c:v>
                </c:pt>
                <c:pt idx="13">
                  <c:v>0.19110876255555226</c:v>
                </c:pt>
                <c:pt idx="14">
                  <c:v>0.91869981305153081</c:v>
                </c:pt>
                <c:pt idx="15">
                  <c:v>3.2715050984920278</c:v>
                </c:pt>
                <c:pt idx="16">
                  <c:v>8.9943453099511341</c:v>
                </c:pt>
                <c:pt idx="17">
                  <c:v>19.717416829018173</c:v>
                </c:pt>
                <c:pt idx="18">
                  <c:v>35.319491869656439</c:v>
                </c:pt>
                <c:pt idx="19">
                  <c:v>52.58507616114904</c:v>
                </c:pt>
                <c:pt idx="20">
                  <c:v>65.632428908735108</c:v>
                </c:pt>
                <c:pt idx="21">
                  <c:v>68.40025711154496</c:v>
                </c:pt>
                <c:pt idx="22">
                  <c:v>57.76235331911294</c:v>
                </c:pt>
                <c:pt idx="23">
                  <c:v>35.260134162129475</c:v>
                </c:pt>
                <c:pt idx="24">
                  <c:v>6.4630042189151018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98-41DE-A31A-D6F48118A5C2}"/>
            </c:ext>
          </c:extLst>
        </c:ser>
        <c:ser>
          <c:idx val="2"/>
          <c:order val="2"/>
          <c:tx>
            <c:strRef>
              <c:f>'Barrier options'!$L$2</c:f>
              <c:strCache>
                <c:ptCount val="1"/>
                <c:pt idx="0">
                  <c:v>European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'Barrier options'!$C$3:$C$27</c:f>
              <c:numCache>
                <c:formatCode>General</c:formatCode>
                <c:ptCount val="25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</c:numCache>
            </c:numRef>
          </c:xVal>
          <c:yVal>
            <c:numRef>
              <c:f>'Barrier options'!$L$3:$L$27</c:f>
              <c:numCache>
                <c:formatCode>0.0</c:formatCode>
                <c:ptCount val="25"/>
                <c:pt idx="0">
                  <c:v>2.4318594172176612E-57</c:v>
                </c:pt>
                <c:pt idx="1">
                  <c:v>9.1535072538254657E-39</c:v>
                </c:pt>
                <c:pt idx="2">
                  <c:v>9.4710940455943906E-28</c:v>
                </c:pt>
                <c:pt idx="3">
                  <c:v>1.9170431838197904E-20</c:v>
                </c:pt>
                <c:pt idx="4">
                  <c:v>2.8162183937582191E-15</c:v>
                </c:pt>
                <c:pt idx="5">
                  <c:v>1.7997365808447589E-11</c:v>
                </c:pt>
                <c:pt idx="6">
                  <c:v>1.3634850640877672E-8</c:v>
                </c:pt>
                <c:pt idx="7">
                  <c:v>2.2548638620640583E-6</c:v>
                </c:pt>
                <c:pt idx="8">
                  <c:v>1.2087908087842748E-4</c:v>
                </c:pt>
                <c:pt idx="9">
                  <c:v>2.7477404493766776E-3</c:v>
                </c:pt>
                <c:pt idx="10">
                  <c:v>3.2006388979675678E-2</c:v>
                </c:pt>
                <c:pt idx="11">
                  <c:v>0.2192420316352397</c:v>
                </c:pt>
                <c:pt idx="12">
                  <c:v>0.97862778059986866</c:v>
                </c:pt>
                <c:pt idx="13">
                  <c:v>3.0780394445085317</c:v>
                </c:pt>
                <c:pt idx="14">
                  <c:v>7.2482504342524789</c:v>
                </c:pt>
                <c:pt idx="15">
                  <c:v>13.404472815468083</c:v>
                </c:pt>
                <c:pt idx="16">
                  <c:v>20.225754977998278</c:v>
                </c:pt>
                <c:pt idx="17">
                  <c:v>25.680612970311323</c:v>
                </c:pt>
                <c:pt idx="18">
                  <c:v>28.139043554866738</c:v>
                </c:pt>
                <c:pt idx="19">
                  <c:v>27.168035778171173</c:v>
                </c:pt>
                <c:pt idx="20">
                  <c:v>23.516736154771678</c:v>
                </c:pt>
                <c:pt idx="21">
                  <c:v>18.517272354987568</c:v>
                </c:pt>
                <c:pt idx="22">
                  <c:v>13.427300640085349</c:v>
                </c:pt>
                <c:pt idx="23">
                  <c:v>9.0603130428412726</c:v>
                </c:pt>
                <c:pt idx="24">
                  <c:v>5.7400336616098002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98-41DE-A31A-D6F48118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777775"/>
        <c:axId val="442690959"/>
      </c:scatterChart>
      <c:valAx>
        <c:axId val="54677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spot</a:t>
                </a:r>
                <a:r>
                  <a:rPr lang="en-SG" baseline="0"/>
                  <a:t> price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0959"/>
        <c:crosses val="autoZero"/>
        <c:crossBetween val="midCat"/>
      </c:valAx>
      <c:valAx>
        <c:axId val="44269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77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SABR!$E$9</c:f>
              <c:strCache>
                <c:ptCount val="1"/>
                <c:pt idx="0">
                  <c:v>beta=0.1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SABR!$D$10:$D$38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SABR!$E$10:$E$38</c:f>
              <c:numCache>
                <c:formatCode>0.00%</c:formatCode>
                <c:ptCount val="29"/>
                <c:pt idx="0">
                  <c:v>0.25984665788785011</c:v>
                </c:pt>
                <c:pt idx="1">
                  <c:v>0.23949883906399885</c:v>
                </c:pt>
                <c:pt idx="2">
                  <c:v>0.22114510420457612</c:v>
                </c:pt>
                <c:pt idx="3">
                  <c:v>0.20442715227511143</c:v>
                </c:pt>
                <c:pt idx="4">
                  <c:v>0.18907838320025372</c:v>
                </c:pt>
                <c:pt idx="5">
                  <c:v>0.17489777136477064</c:v>
                </c:pt>
                <c:pt idx="6">
                  <c:v>0.1617341551578956</c:v>
                </c:pt>
                <c:pt idx="7">
                  <c:v>0.14947744759294845</c:v>
                </c:pt>
                <c:pt idx="8">
                  <c:v>0.13805522678813878</c:v>
                </c:pt>
                <c:pt idx="9">
                  <c:v>0.12743436850331732</c:v>
                </c:pt>
                <c:pt idx="10">
                  <c:v>0.11762804385987415</c:v>
                </c:pt>
                <c:pt idx="11">
                  <c:v>0.10870788235154438</c:v>
                </c:pt>
                <c:pt idx="12">
                  <c:v>0.10081693714220898</c:v>
                </c:pt>
                <c:pt idx="13">
                  <c:v>9.4168729646612714E-2</c:v>
                </c:pt>
                <c:pt idx="14">
                  <c:v>8.8997491608248283E-2</c:v>
                </c:pt>
                <c:pt idx="15">
                  <c:v>8.544659547823992E-2</c:v>
                </c:pt>
                <c:pt idx="16">
                  <c:v>8.3455368497129104E-2</c:v>
                </c:pt>
                <c:pt idx="17">
                  <c:v>8.2764300073327218E-2</c:v>
                </c:pt>
                <c:pt idx="18">
                  <c:v>8.3033101691207242E-2</c:v>
                </c:pt>
                <c:pt idx="19">
                  <c:v>8.3952445234220754E-2</c:v>
                </c:pt>
                <c:pt idx="20">
                  <c:v>8.5288108246249453E-2</c:v>
                </c:pt>
                <c:pt idx="21">
                  <c:v>8.6878086803482163E-2</c:v>
                </c:pt>
                <c:pt idx="22">
                  <c:v>8.8614785225830286E-2</c:v>
                </c:pt>
                <c:pt idx="23">
                  <c:v>9.0427825597910447E-2</c:v>
                </c:pt>
                <c:pt idx="24">
                  <c:v>9.2271362104748331E-2</c:v>
                </c:pt>
                <c:pt idx="25">
                  <c:v>9.4115560978497895E-2</c:v>
                </c:pt>
                <c:pt idx="26">
                  <c:v>9.5941067801397883E-2</c:v>
                </c:pt>
                <c:pt idx="27">
                  <c:v>9.7735441501220752E-2</c:v>
                </c:pt>
                <c:pt idx="28">
                  <c:v>9.9490845291342084E-2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C2-4931-88D6-AAED54837FCF}"/>
            </c:ext>
          </c:extLst>
        </c:ser>
        <c:ser>
          <c:idx val="1"/>
          <c:order val="1"/>
          <c:tx>
            <c:strRef>
              <c:f>SABR!$F$9</c:f>
              <c:strCache>
                <c:ptCount val="1"/>
                <c:pt idx="0">
                  <c:v>beta=0.3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SABR!$D$10:$D$38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SABR!$F$10:$F$38</c:f>
              <c:numCache>
                <c:formatCode>0.00%</c:formatCode>
                <c:ptCount val="29"/>
                <c:pt idx="0">
                  <c:v>0.24904310910313043</c:v>
                </c:pt>
                <c:pt idx="1">
                  <c:v>0.23016374795887284</c:v>
                </c:pt>
                <c:pt idx="2">
                  <c:v>0.21311996488364798</c:v>
                </c:pt>
                <c:pt idx="3">
                  <c:v>0.1975749119712478</c:v>
                </c:pt>
                <c:pt idx="4">
                  <c:v>0.18328018651362332</c:v>
                </c:pt>
                <c:pt idx="5">
                  <c:v>0.17005032864357209</c:v>
                </c:pt>
                <c:pt idx="6">
                  <c:v>0.1577476866332308</c:v>
                </c:pt>
                <c:pt idx="7">
                  <c:v>0.1462741306746983</c:v>
                </c:pt>
                <c:pt idx="8">
                  <c:v>0.13556805892551482</c:v>
                </c:pt>
                <c:pt idx="9">
                  <c:v>0.12560630150389293</c:v>
                </c:pt>
                <c:pt idx="10">
                  <c:v>0.1164110700931429</c:v>
                </c:pt>
                <c:pt idx="11">
                  <c:v>0.10806133732809325</c:v>
                </c:pt>
                <c:pt idx="12">
                  <c:v>0.10070361408722511</c:v>
                </c:pt>
                <c:pt idx="13">
                  <c:v>9.454718849924254E-2</c:v>
                </c:pt>
                <c:pt idx="14">
                  <c:v>8.9812267386992564E-2</c:v>
                </c:pt>
                <c:pt idx="15">
                  <c:v>8.6624941612106654E-2</c:v>
                </c:pt>
                <c:pt idx="16">
                  <c:v>8.4919191464211202E-2</c:v>
                </c:pt>
                <c:pt idx="17">
                  <c:v>8.444861816625647E-2</c:v>
                </c:pt>
                <c:pt idx="18">
                  <c:v>8.4894818698304203E-2</c:v>
                </c:pt>
                <c:pt idx="19">
                  <c:v>8.596758807334022E-2</c:v>
                </c:pt>
                <c:pt idx="20">
                  <c:v>8.7445200788314803E-2</c:v>
                </c:pt>
                <c:pt idx="21">
                  <c:v>8.9172650958721122E-2</c:v>
                </c:pt>
                <c:pt idx="22">
                  <c:v>9.1045915662012269E-2</c:v>
                </c:pt>
                <c:pt idx="23">
                  <c:v>9.2996301687158126E-2</c:v>
                </c:pt>
                <c:pt idx="24">
                  <c:v>9.497866564133714E-2</c:v>
                </c:pt>
                <c:pt idx="25">
                  <c:v>9.6963382228539993E-2</c:v>
                </c:pt>
                <c:pt idx="26">
                  <c:v>9.8931065573304652E-2</c:v>
                </c:pt>
                <c:pt idx="27">
                  <c:v>0.10086913342926739</c:v>
                </c:pt>
                <c:pt idx="28">
                  <c:v>0.10276956424594409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C2-4931-88D6-AAED54837FCF}"/>
            </c:ext>
          </c:extLst>
        </c:ser>
        <c:ser>
          <c:idx val="2"/>
          <c:order val="2"/>
          <c:tx>
            <c:strRef>
              <c:f>SABR!$G$9</c:f>
              <c:strCache>
                <c:ptCount val="1"/>
                <c:pt idx="0">
                  <c:v>beta=0.5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SABR!$D$10:$D$38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SABR!$G$10:$G$38</c:f>
              <c:numCache>
                <c:formatCode>0.00%</c:formatCode>
                <c:ptCount val="29"/>
                <c:pt idx="0">
                  <c:v>0.23850774703263358</c:v>
                </c:pt>
                <c:pt idx="1">
                  <c:v>0.22107624612567764</c:v>
                </c:pt>
                <c:pt idx="2">
                  <c:v>0.20531368689414378</c:v>
                </c:pt>
                <c:pt idx="3">
                  <c:v>0.19090939337996024</c:v>
                </c:pt>
                <c:pt idx="4">
                  <c:v>0.17763610266914648</c:v>
                </c:pt>
                <c:pt idx="5">
                  <c:v>0.1653257739378648</c:v>
                </c:pt>
                <c:pt idx="6">
                  <c:v>0.15385544174983831</c:v>
                </c:pt>
                <c:pt idx="7">
                  <c:v>0.1431396874818428</c:v>
                </c:pt>
                <c:pt idx="8">
                  <c:v>0.13312821933150931</c:v>
                </c:pt>
                <c:pt idx="9">
                  <c:v>0.12380813981556214</c:v>
                </c:pt>
                <c:pt idx="10">
                  <c:v>0.11521088171855652</c:v>
                </c:pt>
                <c:pt idx="11">
                  <c:v>0.10742278150499394</c:v>
                </c:pt>
                <c:pt idx="12">
                  <c:v>0.10059362431733246</c:v>
                </c:pt>
                <c:pt idx="13">
                  <c:v>9.4928155400210365E-2</c:v>
                </c:pt>
                <c:pt idx="14">
                  <c:v>9.0632440241010304E-2</c:v>
                </c:pt>
                <c:pt idx="15">
                  <c:v>8.7815393055168944E-2</c:v>
                </c:pt>
                <c:pt idx="16">
                  <c:v>8.6405044000707157E-2</c:v>
                </c:pt>
                <c:pt idx="17">
                  <c:v>8.6166311906968079E-2</c:v>
                </c:pt>
                <c:pt idx="18">
                  <c:v>8.680077251075824E-2</c:v>
                </c:pt>
                <c:pt idx="19">
                  <c:v>8.8036289883396082E-2</c:v>
                </c:pt>
                <c:pt idx="20">
                  <c:v>8.9663384233754209E-2</c:v>
                </c:pt>
                <c:pt idx="21">
                  <c:v>9.1534190640103194E-2</c:v>
                </c:pt>
                <c:pt idx="22">
                  <c:v>9.3548512497575148E-2</c:v>
                </c:pt>
                <c:pt idx="23">
                  <c:v>9.5639585244371453E-2</c:v>
                </c:pt>
                <c:pt idx="24">
                  <c:v>9.7763168734703809E-2</c:v>
                </c:pt>
                <c:pt idx="25">
                  <c:v>9.9890003208125827E-2</c:v>
                </c:pt>
                <c:pt idx="26">
                  <c:v>0.10200079293944876</c:v>
                </c:pt>
                <c:pt idx="27">
                  <c:v>0.10408290950914265</c:v>
                </c:pt>
                <c:pt idx="28">
                  <c:v>0.10612822214283288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C2-4931-88D6-AAED54837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0.2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aseline="0"/>
              <a:t>Bachelier vs Black vs Shifted Lognormal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Bachelier!$G$16</c:f>
              <c:strCache>
                <c:ptCount val="1"/>
                <c:pt idx="0">
                  <c:v>Bachelier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Bachelier!$G$17:$G$27</c:f>
              <c:numCache>
                <c:formatCode>0.00000</c:formatCode>
                <c:ptCount val="11"/>
                <c:pt idx="0">
                  <c:v>0.27814938538411543</c:v>
                </c:pt>
                <c:pt idx="1">
                  <c:v>0.25610953380571089</c:v>
                </c:pt>
                <c:pt idx="2">
                  <c:v>0.23834567259911099</c:v>
                </c:pt>
                <c:pt idx="3">
                  <c:v>0.22360834387129672</c:v>
                </c:pt>
                <c:pt idx="4">
                  <c:v>0.21111238036210445</c:v>
                </c:pt>
                <c:pt idx="5">
                  <c:v>0.20033450506388462</c:v>
                </c:pt>
                <c:pt idx="6">
                  <c:v>0.19090985901116417</c:v>
                </c:pt>
                <c:pt idx="7">
                  <c:v>0.1825747477078675</c:v>
                </c:pt>
                <c:pt idx="8">
                  <c:v>0.17513294110044419</c:v>
                </c:pt>
                <c:pt idx="9">
                  <c:v>0.16843482560380837</c:v>
                </c:pt>
                <c:pt idx="10">
                  <c:v>0.16236396755319019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D-4100-823B-EF4090D87B26}"/>
            </c:ext>
          </c:extLst>
        </c:ser>
        <c:ser>
          <c:idx val="1"/>
          <c:order val="1"/>
          <c:tx>
            <c:strRef>
              <c:f>Bachelier!$H$16</c:f>
              <c:strCache>
                <c:ptCount val="1"/>
                <c:pt idx="0">
                  <c:v>Black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Bachelier!$H$17:$H$27</c:f>
              <c:numCache>
                <c:formatCode>0.00000</c:formatCode>
                <c:ptCount val="11"/>
                <c:pt idx="0">
                  <c:v>0.20033450506381631</c:v>
                </c:pt>
                <c:pt idx="1">
                  <c:v>0.20033450506387548</c:v>
                </c:pt>
                <c:pt idx="2">
                  <c:v>0.20033450506388581</c:v>
                </c:pt>
                <c:pt idx="3">
                  <c:v>0.20033450506388462</c:v>
                </c:pt>
                <c:pt idx="4">
                  <c:v>0.20033450506388467</c:v>
                </c:pt>
                <c:pt idx="5">
                  <c:v>0.20033450506388487</c:v>
                </c:pt>
                <c:pt idx="6">
                  <c:v>0.20033450506388456</c:v>
                </c:pt>
                <c:pt idx="7">
                  <c:v>0.20033450506388506</c:v>
                </c:pt>
                <c:pt idx="8">
                  <c:v>0.20033450506388462</c:v>
                </c:pt>
                <c:pt idx="9">
                  <c:v>0.20033450506388481</c:v>
                </c:pt>
                <c:pt idx="10">
                  <c:v>0.20033450506388475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D-4100-823B-EF4090D87B26}"/>
            </c:ext>
          </c:extLst>
        </c:ser>
        <c:ser>
          <c:idx val="2"/>
          <c:order val="2"/>
          <c:tx>
            <c:strRef>
              <c:f>Bachelier!$I$16</c:f>
              <c:strCache>
                <c:ptCount val="1"/>
                <c:pt idx="0">
                  <c:v>0.1%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Bachelier!$I$17:$I$27</c:f>
              <c:numCache>
                <c:formatCode>0.00000</c:formatCode>
                <c:ptCount val="11"/>
                <c:pt idx="0">
                  <c:v>0.20453516260823237</c:v>
                </c:pt>
                <c:pt idx="1">
                  <c:v>0.20323811157847749</c:v>
                </c:pt>
                <c:pt idx="2">
                  <c:v>0.20225704101877942</c:v>
                </c:pt>
                <c:pt idx="3">
                  <c:v>0.20148415583598983</c:v>
                </c:pt>
                <c:pt idx="4">
                  <c:v>0.20085646398300358</c:v>
                </c:pt>
                <c:pt idx="5">
                  <c:v>0.20033450506388487</c:v>
                </c:pt>
                <c:pt idx="6">
                  <c:v>0.199892203311483</c:v>
                </c:pt>
                <c:pt idx="7">
                  <c:v>0.19951158146925965</c:v>
                </c:pt>
                <c:pt idx="8">
                  <c:v>0.19917981069419524</c:v>
                </c:pt>
                <c:pt idx="9">
                  <c:v>0.19888747033231063</c:v>
                </c:pt>
                <c:pt idx="10">
                  <c:v>0.19862747344472562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F5-4FB9-985A-B71FC745F443}"/>
            </c:ext>
          </c:extLst>
        </c:ser>
        <c:ser>
          <c:idx val="3"/>
          <c:order val="3"/>
          <c:tx>
            <c:strRef>
              <c:f>Bachelier!$J$16</c:f>
              <c:strCache>
                <c:ptCount val="1"/>
                <c:pt idx="0">
                  <c:v>0.5%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Bachelier!$J$17:$J$27</c:f>
              <c:numCache>
                <c:formatCode>0.00000</c:formatCode>
                <c:ptCount val="11"/>
                <c:pt idx="0">
                  <c:v>0.21753342639963086</c:v>
                </c:pt>
                <c:pt idx="1">
                  <c:v>0.21232407477781787</c:v>
                </c:pt>
                <c:pt idx="2">
                  <c:v>0.20832163233185938</c:v>
                </c:pt>
                <c:pt idx="3">
                  <c:v>0.20513258578239726</c:v>
                </c:pt>
                <c:pt idx="4">
                  <c:v>0.20252061341751554</c:v>
                </c:pt>
                <c:pt idx="5">
                  <c:v>0.20033450506388459</c:v>
                </c:pt>
                <c:pt idx="6">
                  <c:v>0.19847264131187919</c:v>
                </c:pt>
                <c:pt idx="7">
                  <c:v>0.19686399870988783</c:v>
                </c:pt>
                <c:pt idx="8">
                  <c:v>0.19545731922895263</c:v>
                </c:pt>
                <c:pt idx="9">
                  <c:v>0.1942146061534139</c:v>
                </c:pt>
                <c:pt idx="10">
                  <c:v>0.19310704703985337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2F5-4FB9-985A-B71FC745F443}"/>
            </c:ext>
          </c:extLst>
        </c:ser>
        <c:ser>
          <c:idx val="4"/>
          <c:order val="4"/>
          <c:tx>
            <c:strRef>
              <c:f>Bachelier!$K$16</c:f>
              <c:strCache>
                <c:ptCount val="1"/>
                <c:pt idx="0">
                  <c:v>1.0%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Bachelier!$K$17:$K$27</c:f>
              <c:numCache>
                <c:formatCode>0.00000</c:formatCode>
                <c:ptCount val="11"/>
                <c:pt idx="0">
                  <c:v>0.22842877340888118</c:v>
                </c:pt>
                <c:pt idx="1">
                  <c:v>0.220042487848087</c:v>
                </c:pt>
                <c:pt idx="2">
                  <c:v>0.21352595448126899</c:v>
                </c:pt>
                <c:pt idx="3">
                  <c:v>0.20828841075427112</c:v>
                </c:pt>
                <c:pt idx="4">
                  <c:v>0.20396923372124492</c:v>
                </c:pt>
                <c:pt idx="5">
                  <c:v>0.20033450506388431</c:v>
                </c:pt>
                <c:pt idx="6">
                  <c:v>0.19722519604907374</c:v>
                </c:pt>
                <c:pt idx="7">
                  <c:v>0.19452905798415751</c:v>
                </c:pt>
                <c:pt idx="8">
                  <c:v>0.19216439022174575</c:v>
                </c:pt>
                <c:pt idx="9">
                  <c:v>0.19007018233400533</c:v>
                </c:pt>
                <c:pt idx="10">
                  <c:v>0.188199872884668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2F5-4FB9-985A-B71FC745F443}"/>
            </c:ext>
          </c:extLst>
        </c:ser>
        <c:ser>
          <c:idx val="5"/>
          <c:order val="5"/>
          <c:tx>
            <c:strRef>
              <c:f>Bachelier!$L$16</c:f>
              <c:strCache>
                <c:ptCount val="1"/>
                <c:pt idx="0">
                  <c:v>2.0%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Bachelier!$L$17:$L$27</c:f>
              <c:numCache>
                <c:formatCode>0.00000</c:formatCode>
                <c:ptCount val="11"/>
                <c:pt idx="0">
                  <c:v>0.24152560328762671</c:v>
                </c:pt>
                <c:pt idx="1">
                  <c:v>0.22942354153566988</c:v>
                </c:pt>
                <c:pt idx="2">
                  <c:v>0.21990857207864506</c:v>
                </c:pt>
                <c:pt idx="3">
                  <c:v>0.21218772239889949</c:v>
                </c:pt>
                <c:pt idx="4">
                  <c:v>0.20577039022223995</c:v>
                </c:pt>
                <c:pt idx="5">
                  <c:v>0.20033450506388498</c:v>
                </c:pt>
                <c:pt idx="6">
                  <c:v>0.19565874381465828</c:v>
                </c:pt>
                <c:pt idx="7">
                  <c:v>0.19158537519532562</c:v>
                </c:pt>
                <c:pt idx="8">
                  <c:v>0.18799859424240703</c:v>
                </c:pt>
                <c:pt idx="9">
                  <c:v>0.18481124403611743</c:v>
                </c:pt>
                <c:pt idx="10">
                  <c:v>0.1819563367950908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F5-4FB9-985A-B71FC745F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39503"/>
        <c:axId val="604986127"/>
      </c:scatterChart>
      <c:valAx>
        <c:axId val="746439503"/>
        <c:scaling>
          <c:orientation val="minMax"/>
          <c:max val="3.0000000000000006E-2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986127"/>
        <c:crosses val="autoZero"/>
        <c:crossBetween val="midCat"/>
      </c:valAx>
      <c:valAx>
        <c:axId val="604986127"/>
        <c:scaling>
          <c:orientation val="minMax"/>
          <c:max val="0.25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Black</a:t>
                </a:r>
                <a:r>
                  <a:rPr lang="en-SG" baseline="0"/>
                  <a:t> Implied Volatility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439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'Ivol surface'!$E$7</c:f>
              <c:strCache>
                <c:ptCount val="1"/>
                <c:pt idx="0">
                  <c:v>T=0.5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surface'!$E$8:$E$36</c:f>
              <c:numCache>
                <c:formatCode>0.00%</c:formatCode>
                <c:ptCount val="29"/>
                <c:pt idx="0">
                  <c:v>0.59433295099245909</c:v>
                </c:pt>
                <c:pt idx="1">
                  <c:v>0.54485605212061672</c:v>
                </c:pt>
                <c:pt idx="2">
                  <c:v>0.49983643591716409</c:v>
                </c:pt>
                <c:pt idx="3">
                  <c:v>0.45843112844420353</c:v>
                </c:pt>
                <c:pt idx="4">
                  <c:v>0.42003491922091873</c:v>
                </c:pt>
                <c:pt idx="5">
                  <c:v>0.38422142601168113</c:v>
                </c:pt>
                <c:pt idx="6">
                  <c:v>0.35072077271310442</c:v>
                </c:pt>
                <c:pt idx="7">
                  <c:v>0.31943378663233152</c:v>
                </c:pt>
                <c:pt idx="8">
                  <c:v>0.29049943258259053</c:v>
                </c:pt>
                <c:pt idx="9">
                  <c:v>0.2644565149143846</c:v>
                </c:pt>
                <c:pt idx="10">
                  <c:v>0.24255414741156339</c:v>
                </c:pt>
                <c:pt idx="11">
                  <c:v>0.2270923035933512</c:v>
                </c:pt>
                <c:pt idx="12">
                  <c:v>0.22084190760855593</c:v>
                </c:pt>
                <c:pt idx="13">
                  <c:v>0.22445448343733035</c:v>
                </c:pt>
                <c:pt idx="14">
                  <c:v>0.23521590021346425</c:v>
                </c:pt>
                <c:pt idx="15">
                  <c:v>0.24969368290588315</c:v>
                </c:pt>
                <c:pt idx="16">
                  <c:v>0.26565135412569535</c:v>
                </c:pt>
                <c:pt idx="17">
                  <c:v>0.28194875294764654</c:v>
                </c:pt>
                <c:pt idx="18">
                  <c:v>0.29805001937510828</c:v>
                </c:pt>
                <c:pt idx="19">
                  <c:v>0.3137137062320019</c:v>
                </c:pt>
                <c:pt idx="20">
                  <c:v>0.32883970564399778</c:v>
                </c:pt>
                <c:pt idx="21">
                  <c:v>0.34339659136555045</c:v>
                </c:pt>
                <c:pt idx="22">
                  <c:v>0.35738658203163798</c:v>
                </c:pt>
                <c:pt idx="23">
                  <c:v>0.37082815321182611</c:v>
                </c:pt>
                <c:pt idx="24">
                  <c:v>0.38374717481661025</c:v>
                </c:pt>
                <c:pt idx="25">
                  <c:v>0.39617231119107393</c:v>
                </c:pt>
                <c:pt idx="26">
                  <c:v>0.40813262195936367</c:v>
                </c:pt>
                <c:pt idx="27">
                  <c:v>0.41965632964916388</c:v>
                </c:pt>
                <c:pt idx="28">
                  <c:v>0.43077021806498988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13-49F3-AE4A-2852111B4616}"/>
            </c:ext>
          </c:extLst>
        </c:ser>
        <c:ser>
          <c:idx val="1"/>
          <c:order val="1"/>
          <c:tx>
            <c:strRef>
              <c:f>'Ivol surface'!$F$7</c:f>
              <c:strCache>
                <c:ptCount val="1"/>
                <c:pt idx="0">
                  <c:v>T=1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surface'!$F$8:$F$36</c:f>
              <c:numCache>
                <c:formatCode>0.00%</c:formatCode>
                <c:ptCount val="29"/>
                <c:pt idx="0">
                  <c:v>0.40552884748386225</c:v>
                </c:pt>
                <c:pt idx="1">
                  <c:v>0.3802741960102286</c:v>
                </c:pt>
                <c:pt idx="2">
                  <c:v>0.35762878102687373</c:v>
                </c:pt>
                <c:pt idx="3">
                  <c:v>0.33718983995538593</c:v>
                </c:pt>
                <c:pt idx="4">
                  <c:v>0.31868998094557893</c:v>
                </c:pt>
                <c:pt idx="5">
                  <c:v>0.30196416579495672</c:v>
                </c:pt>
                <c:pt idx="6">
                  <c:v>0.28693105257362078</c:v>
                </c:pt>
                <c:pt idx="7">
                  <c:v>0.27358164070775637</c:v>
                </c:pt>
                <c:pt idx="8">
                  <c:v>0.26196922390809108</c:v>
                </c:pt>
                <c:pt idx="9">
                  <c:v>0.25219392430864623</c:v>
                </c:pt>
                <c:pt idx="10">
                  <c:v>0.24437466183918849</c:v>
                </c:pt>
                <c:pt idx="11">
                  <c:v>0.2386051528657506</c:v>
                </c:pt>
                <c:pt idx="12">
                  <c:v>0.23490182283445005</c:v>
                </c:pt>
                <c:pt idx="13">
                  <c:v>0.23316614110287073</c:v>
                </c:pt>
                <c:pt idx="14">
                  <c:v>0.23318328712375908</c:v>
                </c:pt>
                <c:pt idx="15">
                  <c:v>0.23466097574714978</c:v>
                </c:pt>
                <c:pt idx="16">
                  <c:v>0.23728400303330935</c:v>
                </c:pt>
                <c:pt idx="17">
                  <c:v>0.24075946593007605</c:v>
                </c:pt>
                <c:pt idx="18">
                  <c:v>0.24484078651686203</c:v>
                </c:pt>
                <c:pt idx="19">
                  <c:v>0.24933342587094717</c:v>
                </c:pt>
                <c:pt idx="20">
                  <c:v>0.25409016351586383</c:v>
                </c:pt>
                <c:pt idx="21">
                  <c:v>0.25900248669712456</c:v>
                </c:pt>
                <c:pt idx="22">
                  <c:v>0.26399175763596355</c:v>
                </c:pt>
                <c:pt idx="23">
                  <c:v>0.26900166027815714</c:v>
                </c:pt>
                <c:pt idx="24">
                  <c:v>0.27399226608491772</c:v>
                </c:pt>
                <c:pt idx="25">
                  <c:v>0.27893557161823879</c:v>
                </c:pt>
                <c:pt idx="26">
                  <c:v>0.28381221855830979</c:v>
                </c:pt>
                <c:pt idx="27">
                  <c:v>0.28860910932738348</c:v>
                </c:pt>
                <c:pt idx="28">
                  <c:v>0.29331768103344874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13-49F3-AE4A-2852111B4616}"/>
            </c:ext>
          </c:extLst>
        </c:ser>
        <c:ser>
          <c:idx val="2"/>
          <c:order val="2"/>
          <c:tx>
            <c:strRef>
              <c:f>'Ivol surface'!$G$7</c:f>
              <c:strCache>
                <c:ptCount val="1"/>
                <c:pt idx="0">
                  <c:v>T=2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surface'!$G$8:$G$36</c:f>
              <c:numCache>
                <c:formatCode>0.00%</c:formatCode>
                <c:ptCount val="29"/>
                <c:pt idx="0">
                  <c:v>0.3400002111218558</c:v>
                </c:pt>
                <c:pt idx="1">
                  <c:v>0.32782488293603229</c:v>
                </c:pt>
                <c:pt idx="2">
                  <c:v>0.31703476018970878</c:v>
                </c:pt>
                <c:pt idx="3">
                  <c:v>0.307395225091744</c:v>
                </c:pt>
                <c:pt idx="4">
                  <c:v>0.29873398566133191</c:v>
                </c:pt>
                <c:pt idx="5">
                  <c:v>0.29092103293241761</c:v>
                </c:pt>
                <c:pt idx="6">
                  <c:v>0.28385593226429795</c:v>
                </c:pt>
                <c:pt idx="7">
                  <c:v>0.27745941078850495</c:v>
                </c:pt>
                <c:pt idx="8">
                  <c:v>0.27166758039973171</c:v>
                </c:pt>
                <c:pt idx="9">
                  <c:v>0.26642784590635177</c:v>
                </c:pt>
                <c:pt idx="10">
                  <c:v>0.2616959341899211</c:v>
                </c:pt>
                <c:pt idx="11">
                  <c:v>0.25743369950441075</c:v>
                </c:pt>
                <c:pt idx="12">
                  <c:v>0.25360741617307736</c:v>
                </c:pt>
                <c:pt idx="13">
                  <c:v>0.25018692542027765</c:v>
                </c:pt>
                <c:pt idx="14">
                  <c:v>0.24714402268093608</c:v>
                </c:pt>
                <c:pt idx="15">
                  <c:v>0.24445255062798577</c:v>
                </c:pt>
                <c:pt idx="16">
                  <c:v>0.24208761321202929</c:v>
                </c:pt>
                <c:pt idx="17">
                  <c:v>0.24002538671354276</c:v>
                </c:pt>
                <c:pt idx="18">
                  <c:v>0.23824298293760096</c:v>
                </c:pt>
                <c:pt idx="19">
                  <c:v>0.23671840255712481</c:v>
                </c:pt>
                <c:pt idx="20">
                  <c:v>0.23543054829499466</c:v>
                </c:pt>
                <c:pt idx="21">
                  <c:v>0.2343592722317713</c:v>
                </c:pt>
                <c:pt idx="22">
                  <c:v>0.23348543664726532</c:v>
                </c:pt>
                <c:pt idx="23">
                  <c:v>0.23279097311486058</c:v>
                </c:pt>
                <c:pt idx="24">
                  <c:v>0.23225892963149111</c:v>
                </c:pt>
                <c:pt idx="25">
                  <c:v>0.23187350000259219</c:v>
                </c:pt>
                <c:pt idx="26">
                  <c:v>0.23162003326832334</c:v>
                </c:pt>
                <c:pt idx="27">
                  <c:v>0.23148502357119019</c:v>
                </c:pt>
                <c:pt idx="28">
                  <c:v>0.23145608257502334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13-49F3-AE4A-2852111B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'Ivol surface'!$H$7</c:f>
              <c:strCache>
                <c:ptCount val="1"/>
                <c:pt idx="0">
                  <c:v>T=0.5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surface'!$H$8:$H$36</c:f>
              <c:numCache>
                <c:formatCode>0.00</c:formatCode>
                <c:ptCount val="29"/>
                <c:pt idx="0">
                  <c:v>6.013493777525003</c:v>
                </c:pt>
                <c:pt idx="1">
                  <c:v>5.5306317121393098</c:v>
                </c:pt>
                <c:pt idx="2">
                  <c:v>5.0604226201934468</c:v>
                </c:pt>
                <c:pt idx="3">
                  <c:v>4.6070321509829171</c:v>
                </c:pt>
                <c:pt idx="4">
                  <c:v>4.1742757659004655</c:v>
                </c:pt>
                <c:pt idx="5">
                  <c:v>3.7653103919990913</c:v>
                </c:pt>
                <c:pt idx="6">
                  <c:v>3.3824662661434011</c:v>
                </c:pt>
                <c:pt idx="7">
                  <c:v>3.0272023666932051</c:v>
                </c:pt>
                <c:pt idx="8">
                  <c:v>2.700153012679297</c:v>
                </c:pt>
                <c:pt idx="9">
                  <c:v>2.4012312664515174</c:v>
                </c:pt>
                <c:pt idx="10">
                  <c:v>2.1297600073669258</c:v>
                </c:pt>
                <c:pt idx="11">
                  <c:v>1.88460923287514</c:v>
                </c:pt>
                <c:pt idx="12">
                  <c:v>1.6643214633076349</c:v>
                </c:pt>
                <c:pt idx="13">
                  <c:v>1.4672465872388096</c:v>
                </c:pt>
                <c:pt idx="14">
                  <c:v>1.2915952472098995</c:v>
                </c:pt>
                <c:pt idx="15">
                  <c:v>1.1355562216300574</c:v>
                </c:pt>
                <c:pt idx="16">
                  <c:v>0.99733327654224624</c:v>
                </c:pt>
                <c:pt idx="17">
                  <c:v>0.87519126584912188</c:v>
                </c:pt>
                <c:pt idx="18">
                  <c:v>0.76748489093610761</c:v>
                </c:pt>
                <c:pt idx="19">
                  <c:v>0.67267685026098734</c:v>
                </c:pt>
                <c:pt idx="20">
                  <c:v>0.58934772114281031</c:v>
                </c:pt>
                <c:pt idx="21">
                  <c:v>0.51619960346225469</c:v>
                </c:pt>
                <c:pt idx="22">
                  <c:v>0.45205521685445177</c:v>
                </c:pt>
                <c:pt idx="23">
                  <c:v>0.39585381797188313</c:v>
                </c:pt>
                <c:pt idx="24">
                  <c:v>0.34664501266661724</c:v>
                </c:pt>
                <c:pt idx="25">
                  <c:v>0.30358128777491766</c:v>
                </c:pt>
                <c:pt idx="26">
                  <c:v>0.26590987974176822</c:v>
                </c:pt>
                <c:pt idx="27">
                  <c:v>0.23296442980984328</c:v>
                </c:pt>
                <c:pt idx="28">
                  <c:v>0.20415674322958005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84-44E5-A174-F6EAB3877D70}"/>
            </c:ext>
          </c:extLst>
        </c:ser>
        <c:ser>
          <c:idx val="1"/>
          <c:order val="1"/>
          <c:tx>
            <c:strRef>
              <c:f>'Ivol surface'!$I$7</c:f>
              <c:strCache>
                <c:ptCount val="1"/>
                <c:pt idx="0">
                  <c:v>T=1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surface'!$I$8:$I$36</c:f>
              <c:numCache>
                <c:formatCode>0.00</c:formatCode>
                <c:ptCount val="29"/>
                <c:pt idx="0">
                  <c:v>6.0103919174633873</c:v>
                </c:pt>
                <c:pt idx="1">
                  <c:v>5.5246845715057393</c:v>
                </c:pt>
                <c:pt idx="2">
                  <c:v>5.0504846976030677</c:v>
                </c:pt>
                <c:pt idx="3">
                  <c:v>4.5920805711747645</c:v>
                </c:pt>
                <c:pt idx="4">
                  <c:v>4.1535530398226737</c:v>
                </c:pt>
                <c:pt idx="5">
                  <c:v>3.7384054048866107</c:v>
                </c:pt>
                <c:pt idx="6">
                  <c:v>3.3493328434886722</c:v>
                </c:pt>
                <c:pt idx="7">
                  <c:v>2.9881286861880811</c:v>
                </c:pt>
                <c:pt idx="8">
                  <c:v>2.6556999779974291</c:v>
                </c:pt>
                <c:pt idx="9">
                  <c:v>2.3521568671084991</c:v>
                </c:pt>
                <c:pt idx="10">
                  <c:v>2.0769427788402366</c:v>
                </c:pt>
                <c:pt idx="11">
                  <c:v>1.8289793770928648</c:v>
                </c:pt>
                <c:pt idx="12">
                  <c:v>1.606804143186763</c:v>
                </c:pt>
                <c:pt idx="13">
                  <c:v>1.4087190859383363</c:v>
                </c:pt>
                <c:pt idx="14">
                  <c:v>1.2328570806082273</c:v>
                </c:pt>
                <c:pt idx="15">
                  <c:v>1.0773111609304131</c:v>
                </c:pt>
                <c:pt idx="16">
                  <c:v>0.94018072754348203</c:v>
                </c:pt>
                <c:pt idx="17">
                  <c:v>0.81962497249678568</c:v>
                </c:pt>
                <c:pt idx="18">
                  <c:v>0.71389689585533711</c:v>
                </c:pt>
                <c:pt idx="19">
                  <c:v>0.62136496487901283</c:v>
                </c:pt>
                <c:pt idx="20">
                  <c:v>0.54052509118567516</c:v>
                </c:pt>
                <c:pt idx="21">
                  <c:v>0.47000528064815783</c:v>
                </c:pt>
                <c:pt idx="22">
                  <c:v>0.4085649376065954</c:v>
                </c:pt>
                <c:pt idx="23">
                  <c:v>0.35509043349828123</c:v>
                </c:pt>
                <c:pt idx="24">
                  <c:v>0.30858820989363506</c:v>
                </c:pt>
                <c:pt idx="25">
                  <c:v>0.26817639080339345</c:v>
                </c:pt>
                <c:pt idx="26">
                  <c:v>0.23307563270288856</c:v>
                </c:pt>
                <c:pt idx="27">
                  <c:v>0.20259974103640677</c:v>
                </c:pt>
                <c:pt idx="28">
                  <c:v>0.17614642414898576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84-44E5-A174-F6EAB3877D70}"/>
            </c:ext>
          </c:extLst>
        </c:ser>
        <c:ser>
          <c:idx val="2"/>
          <c:order val="2"/>
          <c:tx>
            <c:strRef>
              <c:f>'Ivol surface'!$J$7</c:f>
              <c:strCache>
                <c:ptCount val="1"/>
                <c:pt idx="0">
                  <c:v>T=2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surface'!$J$8:$J$36</c:f>
              <c:numCache>
                <c:formatCode>0.00</c:formatCode>
                <c:ptCount val="29"/>
                <c:pt idx="0">
                  <c:v>6.0323939561922666</c:v>
                </c:pt>
                <c:pt idx="1">
                  <c:v>5.5634977830811074</c:v>
                </c:pt>
                <c:pt idx="2">
                  <c:v>5.1113717818840954</c:v>
                </c:pt>
                <c:pt idx="3">
                  <c:v>4.6793511004860964</c:v>
                </c:pt>
                <c:pt idx="4">
                  <c:v>4.2700716281663684</c:v>
                </c:pt>
                <c:pt idx="5">
                  <c:v>3.8853878184934842</c:v>
                </c:pt>
                <c:pt idx="6">
                  <c:v>3.5263881499026821</c:v>
                </c:pt>
                <c:pt idx="7">
                  <c:v>3.1934720336557572</c:v>
                </c:pt>
                <c:pt idx="8">
                  <c:v>2.8864581712883131</c:v>
                </c:pt>
                <c:pt idx="9">
                  <c:v>2.6047027767576147</c:v>
                </c:pt>
                <c:pt idx="10">
                  <c:v>2.3472138287347253</c:v>
                </c:pt>
                <c:pt idx="11">
                  <c:v>2.1127535743930519</c:v>
                </c:pt>
                <c:pt idx="12">
                  <c:v>1.8999217191815794</c:v>
                </c:pt>
                <c:pt idx="13">
                  <c:v>1.707246890043959</c:v>
                </c:pt>
                <c:pt idx="14">
                  <c:v>1.5332021788027612</c:v>
                </c:pt>
                <c:pt idx="15">
                  <c:v>1.3762882099543261</c:v>
                </c:pt>
                <c:pt idx="16">
                  <c:v>1.2350440021055826</c:v>
                </c:pt>
                <c:pt idx="17">
                  <c:v>1.1080727141103912</c:v>
                </c:pt>
                <c:pt idx="18">
                  <c:v>0.99405581630376139</c:v>
                </c:pt>
                <c:pt idx="19">
                  <c:v>0.89176139742285487</c:v>
                </c:pt>
                <c:pt idx="20">
                  <c:v>0.80004801233103695</c:v>
                </c:pt>
                <c:pt idx="21">
                  <c:v>0.71786522649787299</c:v>
                </c:pt>
                <c:pt idx="22">
                  <c:v>0.64425178676910178</c:v>
                </c:pt>
                <c:pt idx="23">
                  <c:v>0.57833215130479898</c:v>
                </c:pt>
                <c:pt idx="24">
                  <c:v>0.51931194609823672</c:v>
                </c:pt>
                <c:pt idx="25">
                  <c:v>0.46647277955919247</c:v>
                </c:pt>
                <c:pt idx="26">
                  <c:v>0.41916673709932273</c:v>
                </c:pt>
                <c:pt idx="27">
                  <c:v>0.3768107907900019</c:v>
                </c:pt>
                <c:pt idx="28">
                  <c:v>0.33888129126726213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84-44E5-A174-F6EAB3877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Option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spread'!$E$4</c:f>
              <c:strCache>
                <c:ptCount val="1"/>
                <c:pt idx="0">
                  <c:v>Market ivol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spread'!$D$15:$D$17</c:f>
              <c:numCache>
                <c:formatCode>0.0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10.00001</c:v>
                </c:pt>
              </c:numCache>
            </c:numRef>
          </c:xVal>
          <c:yVal>
            <c:numRef>
              <c:f>'call spread'!$E$15:$E$17</c:f>
              <c:numCache>
                <c:formatCode>0.00%</c:formatCode>
                <c:ptCount val="3"/>
                <c:pt idx="0">
                  <c:v>0.23857165273717357</c:v>
                </c:pt>
                <c:pt idx="1">
                  <c:v>0.2197068780404757</c:v>
                </c:pt>
                <c:pt idx="2">
                  <c:v>0.20947012649916816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1D-4D15-B311-11DF7F2F9006}"/>
            </c:ext>
          </c:extLst>
        </c:ser>
        <c:ser>
          <c:idx val="1"/>
          <c:order val="1"/>
          <c:tx>
            <c:strRef>
              <c:f>'call spread'!$F$4</c:f>
              <c:strCache>
                <c:ptCount val="1"/>
                <c:pt idx="0">
                  <c:v>Black ivol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E1D-4D15-B311-11DF7F2F9006}"/>
              </c:ext>
            </c:extLst>
          </c:dPt>
          <c:xVal>
            <c:numRef>
              <c:f>'call spread'!$D$5:$D$33</c:f>
              <c:numCache>
                <c:formatCode>0.0</c:formatCode>
                <c:ptCount val="29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9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spread'!$F$5:$F$33</c:f>
              <c:numCache>
                <c:formatCode>0.00%</c:formatCode>
                <c:ptCount val="29"/>
                <c:pt idx="0">
                  <c:v>0.2197068780404757</c:v>
                </c:pt>
                <c:pt idx="1">
                  <c:v>0.2197068780404757</c:v>
                </c:pt>
                <c:pt idx="2">
                  <c:v>0.2197068780404757</c:v>
                </c:pt>
                <c:pt idx="3">
                  <c:v>0.2197068780404757</c:v>
                </c:pt>
                <c:pt idx="4">
                  <c:v>0.2197068780404757</c:v>
                </c:pt>
                <c:pt idx="5">
                  <c:v>0.2197068780404757</c:v>
                </c:pt>
                <c:pt idx="6">
                  <c:v>0.2197068780404757</c:v>
                </c:pt>
                <c:pt idx="7">
                  <c:v>0.2197068780404757</c:v>
                </c:pt>
                <c:pt idx="8">
                  <c:v>0.2197068780404757</c:v>
                </c:pt>
                <c:pt idx="9">
                  <c:v>0.2197068780404757</c:v>
                </c:pt>
                <c:pt idx="10">
                  <c:v>0.2197068780404757</c:v>
                </c:pt>
                <c:pt idx="11">
                  <c:v>0.2197068780404757</c:v>
                </c:pt>
                <c:pt idx="12">
                  <c:v>0.2197068780404757</c:v>
                </c:pt>
                <c:pt idx="13">
                  <c:v>0.2197068780404757</c:v>
                </c:pt>
                <c:pt idx="14">
                  <c:v>0.2197068780404757</c:v>
                </c:pt>
                <c:pt idx="15">
                  <c:v>0.2197068780404757</c:v>
                </c:pt>
                <c:pt idx="16">
                  <c:v>0.2197068780404757</c:v>
                </c:pt>
                <c:pt idx="17">
                  <c:v>0.2197068780404757</c:v>
                </c:pt>
                <c:pt idx="18">
                  <c:v>0.2197068780404757</c:v>
                </c:pt>
                <c:pt idx="19">
                  <c:v>0.2197068780404757</c:v>
                </c:pt>
                <c:pt idx="20">
                  <c:v>0.2197068780404757</c:v>
                </c:pt>
                <c:pt idx="21">
                  <c:v>0.2197068780404757</c:v>
                </c:pt>
                <c:pt idx="22">
                  <c:v>0.2197068780404757</c:v>
                </c:pt>
                <c:pt idx="23">
                  <c:v>0.2197068780404757</c:v>
                </c:pt>
                <c:pt idx="24">
                  <c:v>0.2197068780404757</c:v>
                </c:pt>
                <c:pt idx="25">
                  <c:v>0.2197068780404757</c:v>
                </c:pt>
                <c:pt idx="26">
                  <c:v>0.2197068780404757</c:v>
                </c:pt>
                <c:pt idx="27">
                  <c:v>0.2197068780404757</c:v>
                </c:pt>
                <c:pt idx="28">
                  <c:v>0.2197068780404757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1D-4D15-B311-11DF7F2F9006}"/>
            </c:ext>
          </c:extLst>
        </c:ser>
        <c:ser>
          <c:idx val="2"/>
          <c:order val="2"/>
          <c:tx>
            <c:strRef>
              <c:f>'call spread'!$J$4</c:f>
              <c:strCache>
                <c:ptCount val="1"/>
                <c:pt idx="0">
                  <c:v>SLN ivol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0E1D-4D15-B311-11DF7F2F9006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E1D-4D15-B311-11DF7F2F9006}"/>
              </c:ext>
            </c:extLst>
          </c:dPt>
          <c:xVal>
            <c:numRef>
              <c:f>'call spread'!$D$5:$D$33</c:f>
              <c:numCache>
                <c:formatCode>0.0</c:formatCode>
                <c:ptCount val="29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9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spread'!$J$5:$J$33</c:f>
              <c:numCache>
                <c:formatCode>0.00%</c:formatCode>
                <c:ptCount val="29"/>
                <c:pt idx="0">
                  <c:v>0.29944233304285039</c:v>
                </c:pt>
                <c:pt idx="1">
                  <c:v>0.2860854036149903</c:v>
                </c:pt>
                <c:pt idx="2">
                  <c:v>0.2750887056936101</c:v>
                </c:pt>
                <c:pt idx="3">
                  <c:v>0.26583340559325441</c:v>
                </c:pt>
                <c:pt idx="4">
                  <c:v>0.25790751325233829</c:v>
                </c:pt>
                <c:pt idx="5">
                  <c:v>0.25102420986195073</c:v>
                </c:pt>
                <c:pt idx="6">
                  <c:v>0.24497660404849758</c:v>
                </c:pt>
                <c:pt idx="7">
                  <c:v>0.23961108126128725</c:v>
                </c:pt>
                <c:pt idx="8">
                  <c:v>0.23481081056167785</c:v>
                </c:pt>
                <c:pt idx="9">
                  <c:v>0.23048511396985161</c:v>
                </c:pt>
                <c:pt idx="10">
                  <c:v>0.22656237691283063</c:v>
                </c:pt>
                <c:pt idx="11">
                  <c:v>0.2197068780404757</c:v>
                </c:pt>
                <c:pt idx="12">
                  <c:v>0.21390002258049431</c:v>
                </c:pt>
                <c:pt idx="13">
                  <c:v>0.21131303592689948</c:v>
                </c:pt>
                <c:pt idx="14">
                  <c:v>0.20890543591763533</c:v>
                </c:pt>
                <c:pt idx="15">
                  <c:v>0.20665805237847518</c:v>
                </c:pt>
                <c:pt idx="16">
                  <c:v>0.20455439625405764</c:v>
                </c:pt>
                <c:pt idx="17">
                  <c:v>0.20258023432821318</c:v>
                </c:pt>
                <c:pt idx="18">
                  <c:v>0.20072320888920989</c:v>
                </c:pt>
                <c:pt idx="19">
                  <c:v>0.19897253286969058</c:v>
                </c:pt>
                <c:pt idx="20">
                  <c:v>0.19731874336990379</c:v>
                </c:pt>
                <c:pt idx="21">
                  <c:v>0.19575350079256398</c:v>
                </c:pt>
                <c:pt idx="22">
                  <c:v>0.19426942393893568</c:v>
                </c:pt>
                <c:pt idx="23">
                  <c:v>0.19285995369894737</c:v>
                </c:pt>
                <c:pt idx="24">
                  <c:v>0.19151923965721948</c:v>
                </c:pt>
                <c:pt idx="25">
                  <c:v>0.19024204519982435</c:v>
                </c:pt>
                <c:pt idx="26">
                  <c:v>0.18902366766005524</c:v>
                </c:pt>
                <c:pt idx="27">
                  <c:v>0.18785987076800834</c:v>
                </c:pt>
                <c:pt idx="28">
                  <c:v>0.18674682722712008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1D-4D15-B311-11DF7F2F9006}"/>
            </c:ext>
          </c:extLst>
        </c:ser>
        <c:ser>
          <c:idx val="3"/>
          <c:order val="3"/>
          <c:tx>
            <c:strRef>
              <c:f>'call spread'!$H$4</c:f>
              <c:strCache>
                <c:ptCount val="1"/>
                <c:pt idx="0">
                  <c:v>Bach ivol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E1D-4D15-B311-11DF7F2F9006}"/>
              </c:ext>
            </c:extLst>
          </c:dPt>
          <c:xVal>
            <c:numRef>
              <c:f>'call spread'!$D$5:$D$33</c:f>
              <c:numCache>
                <c:formatCode>0.0</c:formatCode>
                <c:ptCount val="29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9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spread'!$H$5:$H$33</c:f>
              <c:numCache>
                <c:formatCode>0.00%</c:formatCode>
                <c:ptCount val="29"/>
                <c:pt idx="0">
                  <c:v>0.35985068968006084</c:v>
                </c:pt>
                <c:pt idx="1">
                  <c:v>0.33770434196073434</c:v>
                </c:pt>
                <c:pt idx="2">
                  <c:v>0.31915563249326456</c:v>
                </c:pt>
                <c:pt idx="3">
                  <c:v>0.30329325327392626</c:v>
                </c:pt>
                <c:pt idx="4">
                  <c:v>0.28950564805972795</c:v>
                </c:pt>
                <c:pt idx="5">
                  <c:v>0.27736364783777989</c:v>
                </c:pt>
                <c:pt idx="6">
                  <c:v>0.26655520067439648</c:v>
                </c:pt>
                <c:pt idx="7">
                  <c:v>0.2568467676431806</c:v>
                </c:pt>
                <c:pt idx="8">
                  <c:v>0.24805933112481207</c:v>
                </c:pt>
                <c:pt idx="9">
                  <c:v>0.24005286407236157</c:v>
                </c:pt>
                <c:pt idx="10">
                  <c:v>0.23271592689695816</c:v>
                </c:pt>
                <c:pt idx="11">
                  <c:v>0.21970687804047545</c:v>
                </c:pt>
                <c:pt idx="12">
                  <c:v>0.2084869254458625</c:v>
                </c:pt>
                <c:pt idx="13">
                  <c:v>0.20342467115819959</c:v>
                </c:pt>
                <c:pt idx="14">
                  <c:v>0.19867631374863537</c:v>
                </c:pt>
                <c:pt idx="15">
                  <c:v>0.19421050045957894</c:v>
                </c:pt>
                <c:pt idx="16">
                  <c:v>0.19000006814785347</c:v>
                </c:pt>
                <c:pt idx="17">
                  <c:v>0.18602141556431251</c:v>
                </c:pt>
                <c:pt idx="18">
                  <c:v>0.18225391913865965</c:v>
                </c:pt>
                <c:pt idx="19">
                  <c:v>0.1786794625540252</c:v>
                </c:pt>
                <c:pt idx="20">
                  <c:v>0.17528205467913532</c:v>
                </c:pt>
                <c:pt idx="21">
                  <c:v>0.17204751679276048</c:v>
                </c:pt>
                <c:pt idx="22">
                  <c:v>0.16896322464816729</c:v>
                </c:pt>
                <c:pt idx="23">
                  <c:v>0.16601789430888578</c:v>
                </c:pt>
                <c:pt idx="24">
                  <c:v>0.16320140319725449</c:v>
                </c:pt>
                <c:pt idx="25">
                  <c:v>0.16050463967914552</c:v>
                </c:pt>
                <c:pt idx="26">
                  <c:v>0.15791937593312169</c:v>
                </c:pt>
                <c:pt idx="27">
                  <c:v>0.15543815994098389</c:v>
                </c:pt>
                <c:pt idx="28">
                  <c:v>0.15305422327568752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1D-4D15-B311-11DF7F2F9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4"/>
          <c:min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0.30000000000000004"/>
          <c:min val="0.18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 with SABR'!$E$4</c:f>
              <c:strCache>
                <c:ptCount val="1"/>
                <c:pt idx="0">
                  <c:v>SABR ivol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SABR'!$E$5:$E$33</c:f>
              <c:numCache>
                <c:formatCode>0.00%</c:formatCode>
                <c:ptCount val="29"/>
                <c:pt idx="0">
                  <c:v>0.38569627634274417</c:v>
                </c:pt>
                <c:pt idx="1">
                  <c:v>0.36017015978262834</c:v>
                </c:pt>
                <c:pt idx="2">
                  <c:v>0.33722130033071812</c:v>
                </c:pt>
                <c:pt idx="3">
                  <c:v>0.31643547396762689</c:v>
                </c:pt>
                <c:pt idx="4">
                  <c:v>0.29753463696645704</c:v>
                </c:pt>
                <c:pt idx="5">
                  <c:v>0.28034476083158938</c:v>
                </c:pt>
                <c:pt idx="6">
                  <c:v>0.26477928954297142</c:v>
                </c:pt>
                <c:pt idx="7">
                  <c:v>0.25083172396593506</c:v>
                </c:pt>
                <c:pt idx="8">
                  <c:v>0.23857165273717357</c:v>
                </c:pt>
                <c:pt idx="9">
                  <c:v>0.22813641931774767</c:v>
                </c:pt>
                <c:pt idx="10">
                  <c:v>0.2197068780404757</c:v>
                </c:pt>
                <c:pt idx="11">
                  <c:v>0.21345564468745806</c:v>
                </c:pt>
                <c:pt idx="12">
                  <c:v>0.20947012649916816</c:v>
                </c:pt>
                <c:pt idx="13">
                  <c:v>0.20768268594439951</c:v>
                </c:pt>
                <c:pt idx="14">
                  <c:v>0.2078545487189643</c:v>
                </c:pt>
                <c:pt idx="15">
                  <c:v>0.2096304212340491</c:v>
                </c:pt>
                <c:pt idx="16">
                  <c:v>0.21262363194247544</c:v>
                </c:pt>
                <c:pt idx="17">
                  <c:v>0.21648375821158353</c:v>
                </c:pt>
                <c:pt idx="18">
                  <c:v>0.22092752162097626</c:v>
                </c:pt>
                <c:pt idx="19">
                  <c:v>0.22574150421556272</c:v>
                </c:pt>
                <c:pt idx="20">
                  <c:v>0.23077158021851796</c:v>
                </c:pt>
                <c:pt idx="21">
                  <c:v>0.23590921142176072</c:v>
                </c:pt>
                <c:pt idx="22">
                  <c:v>0.24107916361332024</c:v>
                </c:pt>
                <c:pt idx="23">
                  <c:v>0.2462299090885928</c:v>
                </c:pt>
                <c:pt idx="24">
                  <c:v>0.25132659159726095</c:v>
                </c:pt>
                <c:pt idx="25">
                  <c:v>0.25634602551030855</c:v>
                </c:pt>
                <c:pt idx="26">
                  <c:v>0.26127318900862523</c:v>
                </c:pt>
                <c:pt idx="27">
                  <c:v>0.26609877542069577</c:v>
                </c:pt>
                <c:pt idx="28">
                  <c:v>0.27081748195427291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AF-49BA-877E-9693AF3ECD15}"/>
            </c:ext>
          </c:extLst>
        </c:ser>
        <c:ser>
          <c:idx val="1"/>
          <c:order val="1"/>
          <c:tx>
            <c:strRef>
              <c:f>'call spread with SABR'!$F$4</c:f>
              <c:strCache>
                <c:ptCount val="1"/>
                <c:pt idx="0">
                  <c:v>Black ivol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4AF-49BA-877E-9693AF3ECD1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4AF-49BA-877E-9693AF3ECD15}"/>
              </c:ext>
            </c:extLst>
          </c:dPt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SABR'!$F$5:$F$33</c:f>
              <c:numCache>
                <c:formatCode>0.00%</c:formatCode>
                <c:ptCount val="29"/>
                <c:pt idx="0">
                  <c:v>0.20947012649916816</c:v>
                </c:pt>
                <c:pt idx="1">
                  <c:v>0.20947012649916816</c:v>
                </c:pt>
                <c:pt idx="2">
                  <c:v>0.20947012649916816</c:v>
                </c:pt>
                <c:pt idx="3">
                  <c:v>0.20947012649916816</c:v>
                </c:pt>
                <c:pt idx="4">
                  <c:v>0.20947012649916816</c:v>
                </c:pt>
                <c:pt idx="5">
                  <c:v>0.20947012649916816</c:v>
                </c:pt>
                <c:pt idx="6">
                  <c:v>0.20947012649916816</c:v>
                </c:pt>
                <c:pt idx="7">
                  <c:v>0.20947012649916816</c:v>
                </c:pt>
                <c:pt idx="8">
                  <c:v>0.20947012649916816</c:v>
                </c:pt>
                <c:pt idx="9">
                  <c:v>0.20947012649916816</c:v>
                </c:pt>
                <c:pt idx="10">
                  <c:v>0.20947012649916816</c:v>
                </c:pt>
                <c:pt idx="11">
                  <c:v>0.20947012649916816</c:v>
                </c:pt>
                <c:pt idx="12">
                  <c:v>0.20947012649916816</c:v>
                </c:pt>
                <c:pt idx="13">
                  <c:v>0.20947012649916816</c:v>
                </c:pt>
                <c:pt idx="14">
                  <c:v>0.20947012649916816</c:v>
                </c:pt>
                <c:pt idx="15">
                  <c:v>0.20947012649916816</c:v>
                </c:pt>
                <c:pt idx="16">
                  <c:v>0.20947012649916816</c:v>
                </c:pt>
                <c:pt idx="17">
                  <c:v>0.20947012649916816</c:v>
                </c:pt>
                <c:pt idx="18">
                  <c:v>0.20947012649916816</c:v>
                </c:pt>
                <c:pt idx="19">
                  <c:v>0.20947012649916816</c:v>
                </c:pt>
                <c:pt idx="20">
                  <c:v>0.20947012649916816</c:v>
                </c:pt>
                <c:pt idx="21">
                  <c:v>0.20947012649916816</c:v>
                </c:pt>
                <c:pt idx="22">
                  <c:v>0.20947012649916816</c:v>
                </c:pt>
                <c:pt idx="23">
                  <c:v>0.20947012649916816</c:v>
                </c:pt>
                <c:pt idx="24">
                  <c:v>0.20947012649916816</c:v>
                </c:pt>
                <c:pt idx="25">
                  <c:v>0.20947012649916816</c:v>
                </c:pt>
                <c:pt idx="26">
                  <c:v>0.20947012649916816</c:v>
                </c:pt>
                <c:pt idx="27">
                  <c:v>0.20947012649916816</c:v>
                </c:pt>
                <c:pt idx="28">
                  <c:v>0.20947012649916816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AF-49BA-877E-9693AF3ECD15}"/>
            </c:ext>
          </c:extLst>
        </c:ser>
        <c:ser>
          <c:idx val="2"/>
          <c:order val="2"/>
          <c:tx>
            <c:strRef>
              <c:f>'call spread with SABR'!$J$4</c:f>
              <c:strCache>
                <c:ptCount val="1"/>
                <c:pt idx="0">
                  <c:v>SLN ivol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4AF-49BA-877E-9693AF3ECD1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4AF-49BA-877E-9693AF3ECD15}"/>
              </c:ext>
            </c:extLst>
          </c:dPt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SABR'!$J$5:$J$33</c:f>
              <c:numCache>
                <c:formatCode>0.00%</c:formatCode>
                <c:ptCount val="29"/>
                <c:pt idx="0">
                  <c:v>0.26937646806604565</c:v>
                </c:pt>
                <c:pt idx="1">
                  <c:v>0.26031552239921951</c:v>
                </c:pt>
                <c:pt idx="2">
                  <c:v>0.25255589767971931</c:v>
                </c:pt>
                <c:pt idx="3">
                  <c:v>0.24581686655544749</c:v>
                </c:pt>
                <c:pt idx="4">
                  <c:v>0.23989592396036824</c:v>
                </c:pt>
                <c:pt idx="5">
                  <c:v>0.23464270727087316</c:v>
                </c:pt>
                <c:pt idx="6">
                  <c:v>0.22994285558979854</c:v>
                </c:pt>
                <c:pt idx="7">
                  <c:v>0.2257076058801292</c:v>
                </c:pt>
                <c:pt idx="8">
                  <c:v>0.22186685441471352</c:v>
                </c:pt>
                <c:pt idx="9">
                  <c:v>0.21836439309875666</c:v>
                </c:pt>
                <c:pt idx="10">
                  <c:v>0.21515455613027287</c:v>
                </c:pt>
                <c:pt idx="11">
                  <c:v>0.21219980744441377</c:v>
                </c:pt>
                <c:pt idx="12">
                  <c:v>0.20946891885425964</c:v>
                </c:pt>
                <c:pt idx="13">
                  <c:v>0.20693591305095116</c:v>
                </c:pt>
                <c:pt idx="14">
                  <c:v>0.20457853846625695</c:v>
                </c:pt>
                <c:pt idx="15">
                  <c:v>0.20237802746192612</c:v>
                </c:pt>
                <c:pt idx="16">
                  <c:v>0.20031823705419885</c:v>
                </c:pt>
                <c:pt idx="17">
                  <c:v>0.19838523262515986</c:v>
                </c:pt>
                <c:pt idx="18">
                  <c:v>0.19656691561216069</c:v>
                </c:pt>
                <c:pt idx="19">
                  <c:v>0.19485272507586171</c:v>
                </c:pt>
                <c:pt idx="20">
                  <c:v>0.19323339641770615</c:v>
                </c:pt>
                <c:pt idx="21">
                  <c:v>0.19170076474565809</c:v>
                </c:pt>
                <c:pt idx="22">
                  <c:v>0.19024760344206021</c:v>
                </c:pt>
                <c:pt idx="23">
                  <c:v>0.18886749072222608</c:v>
                </c:pt>
                <c:pt idx="24">
                  <c:v>0.18755469862573049</c:v>
                </c:pt>
                <c:pt idx="25">
                  <c:v>0.18630410011845891</c:v>
                </c:pt>
                <c:pt idx="26">
                  <c:v>0.18511109091682315</c:v>
                </c:pt>
                <c:pt idx="27">
                  <c:v>0.18397152335668099</c:v>
                </c:pt>
                <c:pt idx="28">
                  <c:v>0.18288165017602595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4AF-49BA-877E-9693AF3ECD15}"/>
            </c:ext>
          </c:extLst>
        </c:ser>
        <c:ser>
          <c:idx val="3"/>
          <c:order val="3"/>
          <c:tx>
            <c:strRef>
              <c:f>'call spread with SABR'!$H$4</c:f>
              <c:strCache>
                <c:ptCount val="1"/>
                <c:pt idx="0">
                  <c:v>Bach ivol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4AF-49BA-877E-9693AF3ECD1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4AF-49BA-877E-9693AF3ECD15}"/>
              </c:ext>
            </c:extLst>
          </c:dPt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SABR'!$H$5:$H$33</c:f>
              <c:numCache>
                <c:formatCode>0.00%</c:formatCode>
                <c:ptCount val="29"/>
                <c:pt idx="0">
                  <c:v>0.32066804878296051</c:v>
                </c:pt>
                <c:pt idx="1">
                  <c:v>0.30472933487598453</c:v>
                </c:pt>
                <c:pt idx="2">
                  <c:v>0.29087552186954035</c:v>
                </c:pt>
                <c:pt idx="3">
                  <c:v>0.27867532115477645</c:v>
                </c:pt>
                <c:pt idx="4">
                  <c:v>0.26781514529016209</c:v>
                </c:pt>
                <c:pt idx="5">
                  <c:v>0.25806030982395151</c:v>
                </c:pt>
                <c:pt idx="6">
                  <c:v>0.24923092147364634</c:v>
                </c:pt>
                <c:pt idx="7">
                  <c:v>0.24118626992273837</c:v>
                </c:pt>
                <c:pt idx="8">
                  <c:v>0.23381437298626156</c:v>
                </c:pt>
                <c:pt idx="9">
                  <c:v>0.22702476700050125</c:v>
                </c:pt>
                <c:pt idx="10">
                  <c:v>0.22074340891830935</c:v>
                </c:pt>
                <c:pt idx="11">
                  <c:v>0.21490899201603597</c:v>
                </c:pt>
                <c:pt idx="12">
                  <c:v>0.20947012649916816</c:v>
                </c:pt>
                <c:pt idx="13">
                  <c:v>0.20438383113201689</c:v>
                </c:pt>
                <c:pt idx="14">
                  <c:v>0.19961293455435075</c:v>
                </c:pt>
                <c:pt idx="15">
                  <c:v>0.19512593292037653</c:v>
                </c:pt>
                <c:pt idx="16">
                  <c:v>0.19089553232946302</c:v>
                </c:pt>
                <c:pt idx="17">
                  <c:v>0.18689801802974151</c:v>
                </c:pt>
                <c:pt idx="18">
                  <c:v>0.18311266735649662</c:v>
                </c:pt>
                <c:pt idx="19">
                  <c:v>0.17952127701763937</c:v>
                </c:pt>
                <c:pt idx="20">
                  <c:v>0.17610777916893569</c:v>
                </c:pt>
                <c:pt idx="21">
                  <c:v>0.17285792711999062</c:v>
                </c:pt>
                <c:pt idx="22">
                  <c:v>0.16975903614778873</c:v>
                </c:pt>
                <c:pt idx="23">
                  <c:v>0.16679976829485302</c:v>
                </c:pt>
                <c:pt idx="24">
                  <c:v>0.16396995255159483</c:v>
                </c:pt>
                <c:pt idx="25">
                  <c:v>0.16126043371361304</c:v>
                </c:pt>
                <c:pt idx="26">
                  <c:v>0.15866294463654179</c:v>
                </c:pt>
                <c:pt idx="27">
                  <c:v>0.15616999770510076</c:v>
                </c:pt>
                <c:pt idx="28">
                  <c:v>0.15377479217612289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AF-49BA-877E-9693AF3EC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4"/>
          <c:min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0.30000000000000004"/>
          <c:min val="0.18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302744</xdr:colOff>
      <xdr:row>0</xdr:row>
      <xdr:rowOff>127374</xdr:rowOff>
    </xdr:from>
    <xdr:to>
      <xdr:col>17</xdr:col>
      <xdr:colOff>373529</xdr:colOff>
      <xdr:row>12</xdr:row>
      <xdr:rowOff>141942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AD4392-97EA-41C8-B811-956AA0B34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298824</xdr:colOff>
      <xdr:row>13</xdr:row>
      <xdr:rowOff>44823</xdr:rowOff>
    </xdr:from>
    <xdr:to>
      <xdr:col>14</xdr:col>
      <xdr:colOff>7472</xdr:colOff>
      <xdr:row>26</xdr:row>
      <xdr:rowOff>170517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2998BE-659C-4A59-AB26-04B0EB1E4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358588</xdr:colOff>
      <xdr:row>13</xdr:row>
      <xdr:rowOff>14942</xdr:rowOff>
    </xdr:from>
    <xdr:to>
      <xdr:col>18</xdr:col>
      <xdr:colOff>522942</xdr:colOff>
      <xdr:row>26</xdr:row>
      <xdr:rowOff>140636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CCD0AC-EE01-4B89-95AD-E2383C1C7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410029</xdr:colOff>
      <xdr:row>1</xdr:row>
      <xdr:rowOff>28120</xdr:rowOff>
    </xdr:from>
    <xdr:to>
      <xdr:col>20</xdr:col>
      <xdr:colOff>105229</xdr:colOff>
      <xdr:row>16</xdr:row>
      <xdr:rowOff>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17562E-6BE8-483B-A0CC-01E67A69C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371930</xdr:colOff>
      <xdr:row>16</xdr:row>
      <xdr:rowOff>90715</xdr:rowOff>
    </xdr:from>
    <xdr:to>
      <xdr:col>20</xdr:col>
      <xdr:colOff>71932</xdr:colOff>
      <xdr:row>31</xdr:row>
      <xdr:rowOff>77000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62C349E-F3EF-43A7-B71A-BEC392CDA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326572</xdr:colOff>
      <xdr:row>32</xdr:row>
      <xdr:rowOff>18143</xdr:rowOff>
    </xdr:from>
    <xdr:to>
      <xdr:col>20</xdr:col>
      <xdr:colOff>26574</xdr:colOff>
      <xdr:row>47</xdr:row>
      <xdr:rowOff>4428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643E554-4D64-4DAD-BB65-24FB72933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238124</xdr:colOff>
      <xdr:row>0</xdr:row>
      <xdr:rowOff>69850</xdr:rowOff>
    </xdr:from>
    <xdr:to>
      <xdr:col>16</xdr:col>
      <xdr:colOff>6349</xdr:colOff>
      <xdr:row>21</xdr:row>
      <xdr:rowOff>98425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6C2557-7265-44C0-8A1E-5ED05B5BD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59764</xdr:colOff>
      <xdr:row>0</xdr:row>
      <xdr:rowOff>167339</xdr:rowOff>
    </xdr:from>
    <xdr:to>
      <xdr:col>21</xdr:col>
      <xdr:colOff>246528</xdr:colOff>
      <xdr:row>22</xdr:row>
      <xdr:rowOff>141940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1E22A8-B449-44CC-98CE-4F63D7667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269874</xdr:colOff>
      <xdr:row>0</xdr:row>
      <xdr:rowOff>165100</xdr:rowOff>
    </xdr:from>
    <xdr:to>
      <xdr:col>19</xdr:col>
      <xdr:colOff>126999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3B75-8F56-4BCD-961D-49638B8BC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254000</xdr:colOff>
      <xdr:row>20</xdr:row>
      <xdr:rowOff>95250</xdr:rowOff>
    </xdr:from>
    <xdr:to>
      <xdr:col>19</xdr:col>
      <xdr:colOff>111125</xdr:colOff>
      <xdr:row>39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9ECA04-85D0-4CD5-9028-F781A44DE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390524</xdr:colOff>
      <xdr:row>1</xdr:row>
      <xdr:rowOff>50800</xdr:rowOff>
    </xdr:from>
    <xdr:to>
      <xdr:col>25</xdr:col>
      <xdr:colOff>107949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F8DE5C-7ED8-4701-ABFB-CF4AFE078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250824</xdr:colOff>
      <xdr:row>1</xdr:row>
      <xdr:rowOff>177800</xdr:rowOff>
    </xdr:from>
    <xdr:to>
      <xdr:col>25</xdr:col>
      <xdr:colOff>577849</xdr:colOff>
      <xdr:row>21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95FE8D-902D-4F43-AA1D-59986EB02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8"/>
  <sheetViews>
    <sheetView tabSelected="1" zoomScale="85" zoomScaleNormal="85" workbookViewId="0">
      <selection activeCell="I13" sqref="I13"/>
    </sheetView>
  </sheetViews>
  <sheetFormatPr defaultRowHeight="14.5" x14ac:dyDescent="0.35"/>
  <cols>
    <col min="4" max="4" width="14.6328125" bestFit="1" customWidth="1"/>
    <col min="5" max="6" width="11.90625" style="21" bestFit="1" customWidth="1"/>
    <col min="7" max="7" width="11.81640625" style="21" bestFit="1" customWidth="1"/>
    <col min="8" max="8" width="12.6328125" style="21" customWidth="1"/>
    <col min="9" max="10" width="9.36328125" style="21" bestFit="1" customWidth="1"/>
    <col min="13" max="13" width="12" customWidth="1"/>
    <col min="14" max="14" width="11.54296875" customWidth="1"/>
    <col min="15" max="15" width="9.36328125" bestFit="1" customWidth="1"/>
  </cols>
  <sheetData>
    <row r="1" spans="1:16" x14ac:dyDescent="0.35">
      <c r="D1" t="s">
        <v>4</v>
      </c>
      <c r="E1">
        <v>10</v>
      </c>
      <c r="F1">
        <v>10</v>
      </c>
      <c r="G1">
        <v>10</v>
      </c>
    </row>
    <row r="2" spans="1:16" x14ac:dyDescent="0.35">
      <c r="D2" t="s">
        <v>37</v>
      </c>
      <c r="E2" s="1">
        <f>E7*$B$9</f>
        <v>1.9999953948351159</v>
      </c>
      <c r="F2" s="1">
        <f t="shared" ref="F2:G2" si="0">F7*$B$9</f>
        <v>0.63245553203367599</v>
      </c>
      <c r="G2" s="1">
        <f t="shared" si="0"/>
        <v>0.2</v>
      </c>
    </row>
    <row r="3" spans="1:16" x14ac:dyDescent="0.35">
      <c r="D3" t="s">
        <v>9</v>
      </c>
      <c r="E3">
        <v>9.9999999999999995E-7</v>
      </c>
      <c r="F3">
        <v>0.5</v>
      </c>
      <c r="G3">
        <v>1</v>
      </c>
    </row>
    <row r="4" spans="1:16" x14ac:dyDescent="0.35">
      <c r="D4" t="s">
        <v>14</v>
      </c>
      <c r="E4">
        <v>0</v>
      </c>
      <c r="F4">
        <v>0</v>
      </c>
      <c r="G4">
        <v>0</v>
      </c>
    </row>
    <row r="5" spans="1:16" x14ac:dyDescent="0.35">
      <c r="D5" t="s">
        <v>15</v>
      </c>
      <c r="E5">
        <v>1.0000000000000001E-5</v>
      </c>
      <c r="F5">
        <v>1.0000000000000001E-5</v>
      </c>
      <c r="G5">
        <v>1.0000000000000001E-5</v>
      </c>
    </row>
    <row r="6" spans="1:16" x14ac:dyDescent="0.35">
      <c r="D6" t="s">
        <v>16</v>
      </c>
      <c r="E6">
        <v>1</v>
      </c>
      <c r="F6" s="21">
        <v>1</v>
      </c>
      <c r="G6" s="21">
        <v>1</v>
      </c>
    </row>
    <row r="7" spans="1:16" x14ac:dyDescent="0.35">
      <c r="D7" t="s">
        <v>39</v>
      </c>
      <c r="E7" s="4">
        <f>E1^(1-E3)</f>
        <v>9.9999769741755795</v>
      </c>
      <c r="F7" s="4">
        <f>F1^(1-F3)</f>
        <v>3.1622776601683795</v>
      </c>
      <c r="G7" s="4">
        <f>G1^(1-G3)</f>
        <v>1</v>
      </c>
    </row>
    <row r="8" spans="1:16" x14ac:dyDescent="0.35">
      <c r="D8" t="s">
        <v>36</v>
      </c>
      <c r="E8" s="15">
        <f>E2/E7</f>
        <v>0.2</v>
      </c>
      <c r="F8" s="15">
        <f>F2/F7</f>
        <v>0.20000000000000004</v>
      </c>
      <c r="G8" s="15">
        <f>G2/G7</f>
        <v>0.2</v>
      </c>
    </row>
    <row r="9" spans="1:16" x14ac:dyDescent="0.35">
      <c r="A9" t="s">
        <v>40</v>
      </c>
      <c r="B9" s="10">
        <v>0.2</v>
      </c>
      <c r="E9" s="21" t="s">
        <v>53</v>
      </c>
      <c r="F9" s="21" t="s">
        <v>43</v>
      </c>
      <c r="G9" s="23" t="s">
        <v>52</v>
      </c>
      <c r="H9" s="21" t="s">
        <v>53</v>
      </c>
      <c r="I9" s="21" t="s">
        <v>43</v>
      </c>
      <c r="J9" s="23" t="s">
        <v>52</v>
      </c>
    </row>
    <row r="10" spans="1:16" x14ac:dyDescent="0.35">
      <c r="D10" s="2">
        <v>4</v>
      </c>
      <c r="E10" s="22">
        <f>sabr($E$1,$D10,E$6,E$2,E$3,E$4,E$5)</f>
        <v>0.30670329206934649</v>
      </c>
      <c r="F10" s="22">
        <f>sabr($E$1,$D10,F$6,F$2,F$3,F$4,F$5)</f>
        <v>0.2494648940746842</v>
      </c>
      <c r="G10" s="22">
        <f t="shared" ref="F10:H25" si="1">sabr($E$1,$D10,G$6,G$2,G$3,G$4,G$5)</f>
        <v>0.2000000000714359</v>
      </c>
      <c r="H10" s="27">
        <f>DigitalPut($E$1,E10,E11,E$6,$D10,$D11)</f>
        <v>2.0700065282449644E-3</v>
      </c>
      <c r="I10" s="27">
        <f>DigitalPut($E$1,F10,F11,F$6,$D10,$D11)</f>
        <v>3.3725831392170612E-4</v>
      </c>
      <c r="J10" s="27">
        <f t="shared" ref="I10:J25" si="2">DigitalPut($E$1,G10,G11,G$6,$D10,$D11)</f>
        <v>1.8557250728829085E-5</v>
      </c>
      <c r="M10" s="20"/>
      <c r="N10" s="20"/>
      <c r="O10" s="20"/>
      <c r="P10" s="20"/>
    </row>
    <row r="11" spans="1:16" x14ac:dyDescent="0.35">
      <c r="D11" s="2">
        <v>4.5</v>
      </c>
      <c r="E11" s="22">
        <f t="shared" ref="E11:G38" si="3">sabr($E$1,$D11,E$6,E$2,E$3,E$4,E$5)</f>
        <v>0.29144199083191336</v>
      </c>
      <c r="F11" s="22">
        <f t="shared" si="3"/>
        <v>0.24272575427985443</v>
      </c>
      <c r="G11" s="22">
        <f t="shared" si="1"/>
        <v>0.20000000005446883</v>
      </c>
      <c r="H11" s="27">
        <f t="shared" ref="H11:H38" si="4">DigitalPut($E$1,E11,E12,E$6,$D11,$D12)</f>
        <v>4.421518748738959E-3</v>
      </c>
      <c r="I11" s="27">
        <f t="shared" ref="I11:J38" si="5">DigitalPut($E$1,F11,F12,F$6,$D11,$D12)</f>
        <v>1.2131040139063609E-3</v>
      </c>
      <c r="J11" s="27">
        <f t="shared" si="2"/>
        <v>1.6889481396222228E-4</v>
      </c>
      <c r="M11" s="20"/>
      <c r="N11" s="20"/>
      <c r="O11" s="20"/>
      <c r="P11" s="20"/>
    </row>
    <row r="12" spans="1:16" x14ac:dyDescent="0.35">
      <c r="D12" s="2">
        <v>5</v>
      </c>
      <c r="E12" s="22">
        <f t="shared" si="3"/>
        <v>0.27818307455881047</v>
      </c>
      <c r="F12" s="22">
        <f t="shared" si="3"/>
        <v>0.23679470220444365</v>
      </c>
      <c r="G12" s="22">
        <f t="shared" si="1"/>
        <v>0.20000000004189819</v>
      </c>
      <c r="H12" s="27">
        <f t="shared" si="4"/>
        <v>8.9233115651105449E-3</v>
      </c>
      <c r="I12" s="27">
        <f t="shared" si="5"/>
        <v>3.6456116799169977E-3</v>
      </c>
      <c r="J12" s="27">
        <f t="shared" si="2"/>
        <v>9.8403358588184742E-4</v>
      </c>
      <c r="M12" s="20"/>
      <c r="N12" s="20"/>
      <c r="O12" s="20"/>
      <c r="P12" s="20"/>
    </row>
    <row r="13" spans="1:16" x14ac:dyDescent="0.35">
      <c r="D13" s="2">
        <v>5.5</v>
      </c>
      <c r="E13" s="22">
        <f t="shared" si="3"/>
        <v>0.26651046471960238</v>
      </c>
      <c r="F13" s="22">
        <f t="shared" si="3"/>
        <v>0.23150883837033864</v>
      </c>
      <c r="G13" s="22">
        <f t="shared" si="1"/>
        <v>0.20000000003117047</v>
      </c>
      <c r="H13" s="27">
        <f t="shared" si="4"/>
        <v>1.7025170148445901E-2</v>
      </c>
      <c r="I13" s="27">
        <f t="shared" si="5"/>
        <v>9.390951105895301E-3</v>
      </c>
      <c r="J13" s="27">
        <f t="shared" si="2"/>
        <v>4.0497069831600327E-3</v>
      </c>
      <c r="M13" s="20"/>
      <c r="N13" s="20"/>
      <c r="O13" s="20"/>
      <c r="P13" s="20"/>
    </row>
    <row r="14" spans="1:16" x14ac:dyDescent="0.35">
      <c r="D14" s="2">
        <v>6</v>
      </c>
      <c r="E14" s="22">
        <f t="shared" si="3"/>
        <v>0.25612224424949287</v>
      </c>
      <c r="F14" s="22">
        <f t="shared" si="3"/>
        <v>0.22674926895159409</v>
      </c>
      <c r="G14" s="22">
        <f t="shared" si="1"/>
        <v>0.20000000002456364</v>
      </c>
      <c r="H14" s="27">
        <f t="shared" si="4"/>
        <v>3.0731830453850417E-2</v>
      </c>
      <c r="I14" s="27">
        <f t="shared" si="5"/>
        <v>2.1166854540246971E-2</v>
      </c>
      <c r="J14" s="27">
        <f t="shared" si="2"/>
        <v>1.265795444554918E-2</v>
      </c>
    </row>
    <row r="15" spans="1:16" x14ac:dyDescent="0.35">
      <c r="D15" s="2">
        <v>6.5</v>
      </c>
      <c r="E15" s="22">
        <f t="shared" si="3"/>
        <v>0.2467928040843522</v>
      </c>
      <c r="F15" s="22">
        <f t="shared" si="3"/>
        <v>0.22242666660047442</v>
      </c>
      <c r="G15" s="22">
        <f t="shared" si="1"/>
        <v>0.20000000001688009</v>
      </c>
      <c r="H15" s="27">
        <f t="shared" si="4"/>
        <v>5.2529952023716242E-2</v>
      </c>
      <c r="I15" s="27">
        <f t="shared" si="5"/>
        <v>4.2458071326072377E-2</v>
      </c>
      <c r="J15" s="27">
        <f t="shared" si="2"/>
        <v>3.1741662561892037E-2</v>
      </c>
      <c r="M15" s="1"/>
      <c r="N15" s="1"/>
      <c r="O15" s="1"/>
      <c r="P15" s="1"/>
    </row>
    <row r="16" spans="1:16" x14ac:dyDescent="0.35">
      <c r="D16" s="2">
        <v>7</v>
      </c>
      <c r="E16" s="22">
        <f t="shared" si="3"/>
        <v>0.23834940686730929</v>
      </c>
      <c r="F16" s="22">
        <f t="shared" si="3"/>
        <v>0.21847228501155275</v>
      </c>
      <c r="G16" s="22">
        <f t="shared" si="1"/>
        <v>0.20000000001195328</v>
      </c>
      <c r="H16" s="27">
        <f t="shared" si="4"/>
        <v>8.5116841989407499E-2</v>
      </c>
      <c r="I16" s="27">
        <f t="shared" si="5"/>
        <v>7.6876025973190432E-2</v>
      </c>
      <c r="J16" s="27">
        <f t="shared" si="2"/>
        <v>6.6615189878488468E-2</v>
      </c>
      <c r="M16" s="1"/>
      <c r="N16" s="1"/>
      <c r="O16" s="1"/>
      <c r="P16" s="1"/>
    </row>
    <row r="17" spans="4:10" x14ac:dyDescent="0.35">
      <c r="D17" s="2">
        <v>7.5</v>
      </c>
      <c r="E17" s="22">
        <f t="shared" si="3"/>
        <v>0.23065706041051273</v>
      </c>
      <c r="F17" s="22">
        <f t="shared" si="3"/>
        <v>0.21483213363191353</v>
      </c>
      <c r="G17" s="22">
        <f t="shared" si="1"/>
        <v>0.20000000000738943</v>
      </c>
      <c r="H17" s="27">
        <f t="shared" si="4"/>
        <v>0.13091006628824053</v>
      </c>
      <c r="I17" s="27">
        <f t="shared" si="5"/>
        <v>0.12718307667389639</v>
      </c>
      <c r="J17" s="27">
        <f t="shared" si="2"/>
        <v>0.12094873339655687</v>
      </c>
    </row>
    <row r="18" spans="4:10" x14ac:dyDescent="0.35">
      <c r="D18" s="2">
        <v>8</v>
      </c>
      <c r="E18" s="22">
        <f t="shared" si="3"/>
        <v>0.22360840874719837</v>
      </c>
      <c r="F18" s="22">
        <f t="shared" si="1"/>
        <v>0.21146306922981775</v>
      </c>
      <c r="G18" s="22">
        <f t="shared" si="1"/>
        <v>0.2000000000072529</v>
      </c>
      <c r="H18" s="27">
        <f t="shared" si="4"/>
        <v>0.19140141569362834</v>
      </c>
      <c r="I18" s="27">
        <f t="shared" si="5"/>
        <v>0.19430322892929741</v>
      </c>
      <c r="J18" s="27">
        <f t="shared" si="2"/>
        <v>0.19507770406233504</v>
      </c>
    </row>
    <row r="19" spans="4:10" x14ac:dyDescent="0.35">
      <c r="D19" s="2">
        <v>8.5</v>
      </c>
      <c r="E19" s="22">
        <f t="shared" si="3"/>
        <v>0.21711677402311849</v>
      </c>
      <c r="F19" s="22">
        <f t="shared" si="1"/>
        <v>0.20833009589825294</v>
      </c>
      <c r="G19" s="22">
        <f t="shared" si="1"/>
        <v>0.20000000000905302</v>
      </c>
      <c r="H19" s="27">
        <f t="shared" si="4"/>
        <v>0.26651509776770599</v>
      </c>
      <c r="I19" s="27">
        <f t="shared" si="5"/>
        <v>0.27671202742566958</v>
      </c>
      <c r="J19" s="27">
        <f t="shared" si="2"/>
        <v>0.28555801649430634</v>
      </c>
    </row>
    <row r="20" spans="4:10" x14ac:dyDescent="0.35">
      <c r="D20" s="2">
        <v>9</v>
      </c>
      <c r="E20" s="22">
        <f t="shared" si="3"/>
        <v>0.21111124370464593</v>
      </c>
      <c r="F20" s="22">
        <f t="shared" si="1"/>
        <v>0.20540445224827489</v>
      </c>
      <c r="G20" s="22">
        <f t="shared" si="1"/>
        <v>0.20000000000234994</v>
      </c>
      <c r="H20" s="27">
        <f t="shared" si="4"/>
        <v>0.35419073877906904</v>
      </c>
      <c r="I20" s="27">
        <f t="shared" si="5"/>
        <v>0.37047235587251226</v>
      </c>
      <c r="J20" s="27">
        <f t="shared" si="2"/>
        <v>0.3860865894899197</v>
      </c>
    </row>
    <row r="21" spans="4:10" x14ac:dyDescent="0.35">
      <c r="D21" s="2">
        <v>9.5</v>
      </c>
      <c r="E21" s="22">
        <f t="shared" si="3"/>
        <v>0.20553312454506023</v>
      </c>
      <c r="F21" s="22">
        <f t="shared" si="1"/>
        <v>0.20266222636359033</v>
      </c>
      <c r="G21" s="22">
        <f t="shared" si="1"/>
        <v>0.19999999999744766</v>
      </c>
      <c r="H21" s="27">
        <f t="shared" si="4"/>
        <v>0.45039126029956311</v>
      </c>
      <c r="I21" s="27">
        <f t="shared" si="5"/>
        <v>0.46992614546421441</v>
      </c>
      <c r="J21" s="27">
        <f t="shared" si="2"/>
        <v>0.48920536542965032</v>
      </c>
    </row>
    <row r="22" spans="4:10" x14ac:dyDescent="0.35">
      <c r="D22" s="2">
        <v>10.00001</v>
      </c>
      <c r="E22" s="22">
        <f t="shared" si="3"/>
        <v>0.20033321557549166</v>
      </c>
      <c r="F22" s="22">
        <f t="shared" si="1"/>
        <v>0.2000832166795356</v>
      </c>
      <c r="G22" s="22">
        <f t="shared" si="1"/>
        <v>0.19999988343643982</v>
      </c>
      <c r="H22" s="27">
        <f t="shared" si="4"/>
        <v>0.54961249452119632</v>
      </c>
      <c r="I22" s="27">
        <f t="shared" si="5"/>
        <v>0.56879947927648555</v>
      </c>
      <c r="J22" s="27">
        <f t="shared" si="2"/>
        <v>0.58800709224724124</v>
      </c>
    </row>
    <row r="23" spans="4:10" x14ac:dyDescent="0.35">
      <c r="D23" s="2">
        <v>10.5</v>
      </c>
      <c r="E23" s="22">
        <f t="shared" si="3"/>
        <v>0.19547043970636235</v>
      </c>
      <c r="F23" s="22">
        <f t="shared" si="1"/>
        <v>0.19765074743685607</v>
      </c>
      <c r="G23" s="22">
        <f t="shared" si="1"/>
        <v>0.20000000000602017</v>
      </c>
      <c r="H23" s="27">
        <f t="shared" si="4"/>
        <v>0.64581010306857678</v>
      </c>
      <c r="I23" s="27">
        <f t="shared" si="5"/>
        <v>0.66135542245458012</v>
      </c>
      <c r="J23" s="27">
        <f t="shared" si="2"/>
        <v>0.67728349390837295</v>
      </c>
    </row>
    <row r="24" spans="4:10" x14ac:dyDescent="0.35">
      <c r="D24" s="2">
        <v>11</v>
      </c>
      <c r="E24" s="22">
        <f t="shared" si="3"/>
        <v>0.19090918702723161</v>
      </c>
      <c r="F24" s="22">
        <f t="shared" si="1"/>
        <v>0.19534991673237243</v>
      </c>
      <c r="G24" s="22">
        <f t="shared" si="1"/>
        <v>0.19999999999798668</v>
      </c>
      <c r="H24" s="27">
        <f t="shared" si="4"/>
        <v>0.73348428444847791</v>
      </c>
      <c r="I24" s="27">
        <f t="shared" si="5"/>
        <v>0.74328198816819402</v>
      </c>
      <c r="J24" s="27">
        <f t="shared" si="2"/>
        <v>0.75398694369529728</v>
      </c>
    </row>
    <row r="25" spans="4:10" x14ac:dyDescent="0.35">
      <c r="D25" s="2">
        <v>11.5</v>
      </c>
      <c r="E25" s="22">
        <f t="shared" si="3"/>
        <v>0.18661934073318176</v>
      </c>
      <c r="F25" s="22">
        <f t="shared" si="1"/>
        <v>0.19316831060147063</v>
      </c>
      <c r="G25" s="22">
        <f t="shared" si="1"/>
        <v>0.20000000000200988</v>
      </c>
      <c r="H25" s="27">
        <f t="shared" si="4"/>
        <v>0.80859657550368169</v>
      </c>
      <c r="I25" s="27">
        <f t="shared" si="5"/>
        <v>0.8121019233588278</v>
      </c>
      <c r="J25" s="27">
        <f t="shared" si="2"/>
        <v>0.8170706301761097</v>
      </c>
    </row>
    <row r="26" spans="4:10" x14ac:dyDescent="0.35">
      <c r="D26" s="2">
        <v>12</v>
      </c>
      <c r="E26" s="22">
        <f t="shared" si="3"/>
        <v>0.18257479789204492</v>
      </c>
      <c r="F26" s="22">
        <f t="shared" si="3"/>
        <v>0.19109506561229261</v>
      </c>
      <c r="G26" s="22">
        <f t="shared" si="3"/>
        <v>0.20000000000397053</v>
      </c>
      <c r="H26" s="27">
        <f t="shared" si="4"/>
        <v>0.86908712369866592</v>
      </c>
      <c r="I26" s="27">
        <f t="shared" si="5"/>
        <v>0.8671461967449936</v>
      </c>
      <c r="J26" s="27">
        <f t="shared" si="5"/>
        <v>0.86702261619226029</v>
      </c>
    </row>
    <row r="27" spans="4:10" x14ac:dyDescent="0.35">
      <c r="D27" s="2">
        <v>12.5</v>
      </c>
      <c r="E27" s="22">
        <f t="shared" si="3"/>
        <v>0.17875288117551424</v>
      </c>
      <c r="F27" s="22">
        <f t="shared" si="3"/>
        <v>0.18912070529727512</v>
      </c>
      <c r="G27" s="22">
        <f t="shared" si="3"/>
        <v>0.20000000000589344</v>
      </c>
      <c r="H27" s="27">
        <f t="shared" si="4"/>
        <v>0.91488036828421215</v>
      </c>
      <c r="I27" s="27">
        <f t="shared" si="5"/>
        <v>0.90919046645485224</v>
      </c>
      <c r="J27" s="27">
        <f t="shared" si="5"/>
        <v>0.90529194488380327</v>
      </c>
    </row>
    <row r="28" spans="4:10" x14ac:dyDescent="0.35">
      <c r="D28" s="2">
        <v>13</v>
      </c>
      <c r="E28" s="22">
        <f t="shared" si="3"/>
        <v>0.17513377637741476</v>
      </c>
      <c r="F28" s="22">
        <f t="shared" si="3"/>
        <v>0.18723691610870713</v>
      </c>
      <c r="G28" s="22">
        <f t="shared" si="3"/>
        <v>0.20000000000542251</v>
      </c>
      <c r="H28" s="27">
        <f t="shared" si="4"/>
        <v>0.94746799335578658</v>
      </c>
      <c r="I28" s="27">
        <f t="shared" si="5"/>
        <v>0.93994167773166737</v>
      </c>
      <c r="J28" s="27">
        <f t="shared" si="5"/>
        <v>0.93377806747897196</v>
      </c>
    </row>
    <row r="29" spans="4:10" x14ac:dyDescent="0.35">
      <c r="D29" s="2">
        <v>13.5</v>
      </c>
      <c r="E29" s="22">
        <f t="shared" si="3"/>
        <v>0.17170007962929482</v>
      </c>
      <c r="F29" s="22">
        <f t="shared" si="3"/>
        <v>0.18543636659011345</v>
      </c>
      <c r="G29" s="22">
        <f t="shared" si="3"/>
        <v>0.20000000000850407</v>
      </c>
      <c r="H29" s="27">
        <f t="shared" si="4"/>
        <v>0.96926722947743826</v>
      </c>
      <c r="I29" s="27">
        <f t="shared" si="5"/>
        <v>0.96153075304226121</v>
      </c>
      <c r="J29" s="27">
        <f t="shared" si="5"/>
        <v>0.95445409970851713</v>
      </c>
    </row>
    <row r="30" spans="4:10" x14ac:dyDescent="0.35">
      <c r="D30" s="2">
        <v>14</v>
      </c>
      <c r="E30" s="22">
        <f t="shared" si="3"/>
        <v>0.16843642975958151</v>
      </c>
      <c r="F30" s="22">
        <f t="shared" si="3"/>
        <v>0.18371256017768062</v>
      </c>
      <c r="G30" s="22">
        <f t="shared" si="3"/>
        <v>0.20000000000891935</v>
      </c>
      <c r="H30" s="27">
        <f t="shared" si="4"/>
        <v>0.98297500026218643</v>
      </c>
      <c r="I30" s="27">
        <f t="shared" si="5"/>
        <v>0.97611161416631731</v>
      </c>
      <c r="J30" s="27">
        <f t="shared" si="5"/>
        <v>0.96913342441298767</v>
      </c>
    </row>
    <row r="31" spans="4:10" x14ac:dyDescent="0.35">
      <c r="D31" s="2">
        <v>14.5</v>
      </c>
      <c r="E31" s="22">
        <f t="shared" si="3"/>
        <v>0.16532920742939189</v>
      </c>
      <c r="F31" s="22">
        <f t="shared" si="3"/>
        <v>0.18205971442227034</v>
      </c>
      <c r="G31" s="22">
        <f t="shared" si="3"/>
        <v>0.20000000001420173</v>
      </c>
      <c r="H31" s="27">
        <f t="shared" si="4"/>
        <v>0.99107768545372465</v>
      </c>
      <c r="I31" s="27">
        <f t="shared" si="5"/>
        <v>0.98560425963287202</v>
      </c>
      <c r="J31" s="27">
        <f t="shared" si="5"/>
        <v>0.97935514986129846</v>
      </c>
    </row>
    <row r="32" spans="4:10" x14ac:dyDescent="0.35">
      <c r="D32" s="2">
        <v>15</v>
      </c>
      <c r="E32" s="22">
        <f t="shared" si="3"/>
        <v>0.16236628704615347</v>
      </c>
      <c r="F32" s="22">
        <f t="shared" si="3"/>
        <v>0.18047266117813651</v>
      </c>
      <c r="G32" s="22">
        <f t="shared" si="3"/>
        <v>0.20000000001352805</v>
      </c>
      <c r="H32" s="27">
        <f t="shared" si="4"/>
        <v>0.99557990961467269</v>
      </c>
      <c r="I32" s="27">
        <f t="shared" si="5"/>
        <v>0.99157255624134066</v>
      </c>
      <c r="J32" s="27">
        <f t="shared" si="5"/>
        <v>0.98635267014889649</v>
      </c>
    </row>
    <row r="33" spans="4:10" x14ac:dyDescent="0.35">
      <c r="D33" s="2">
        <v>15.5</v>
      </c>
      <c r="E33" s="22">
        <f t="shared" si="3"/>
        <v>0.15953683084227152</v>
      </c>
      <c r="F33" s="22">
        <f t="shared" si="3"/>
        <v>0.17894676350597205</v>
      </c>
      <c r="G33" s="22">
        <f t="shared" si="3"/>
        <v>0.20000000001765264</v>
      </c>
      <c r="H33" s="27">
        <f t="shared" si="4"/>
        <v>0.99793149409696014</v>
      </c>
      <c r="I33" s="27">
        <f t="shared" si="5"/>
        <v>0.99520259670800471</v>
      </c>
      <c r="J33" s="27">
        <f t="shared" si="5"/>
        <v>0.99107177478014918</v>
      </c>
    </row>
    <row r="34" spans="4:10" x14ac:dyDescent="0.35">
      <c r="D34" s="2">
        <v>16</v>
      </c>
      <c r="E34" s="22">
        <f t="shared" si="3"/>
        <v>0.15683111682370243</v>
      </c>
      <c r="F34" s="22">
        <f t="shared" si="3"/>
        <v>0.17747784609988762</v>
      </c>
      <c r="G34" s="22">
        <f t="shared" si="3"/>
        <v>0.20000000001920937</v>
      </c>
      <c r="H34" s="27">
        <f t="shared" si="4"/>
        <v>0.99908608613325356</v>
      </c>
      <c r="I34" s="27">
        <f t="shared" si="5"/>
        <v>0.99734179619807506</v>
      </c>
      <c r="J34" s="27">
        <f t="shared" si="5"/>
        <v>0.99421267523997514</v>
      </c>
    </row>
    <row r="35" spans="4:10" x14ac:dyDescent="0.35">
      <c r="D35" s="2">
        <v>16.5</v>
      </c>
      <c r="E35" s="22">
        <f t="shared" si="3"/>
        <v>0.15424039418164992</v>
      </c>
      <c r="F35" s="22">
        <f t="shared" si="3"/>
        <v>0.17606213667162202</v>
      </c>
      <c r="G35" s="22">
        <f t="shared" si="3"/>
        <v>0.2000000000229229</v>
      </c>
      <c r="H35" s="27">
        <f t="shared" si="4"/>
        <v>0.99961896694623675</v>
      </c>
      <c r="I35" s="27">
        <f t="shared" si="5"/>
        <v>0.99856499992770509</v>
      </c>
      <c r="J35" s="27">
        <f t="shared" si="5"/>
        <v>0.99627908839492818</v>
      </c>
    </row>
    <row r="36" spans="4:10" x14ac:dyDescent="0.35">
      <c r="D36" s="2">
        <v>17</v>
      </c>
      <c r="E36" s="22">
        <f t="shared" si="3"/>
        <v>0.1517567611067358</v>
      </c>
      <c r="F36" s="22">
        <f t="shared" si="3"/>
        <v>0.17469621628597989</v>
      </c>
      <c r="G36" s="22">
        <f t="shared" si="3"/>
        <v>0.20000000002380514</v>
      </c>
      <c r="H36" s="27">
        <f t="shared" si="4"/>
        <v>0.9998501543116447</v>
      </c>
      <c r="I36" s="27">
        <f t="shared" si="5"/>
        <v>0.99924457339429651</v>
      </c>
      <c r="J36" s="27">
        <f t="shared" si="5"/>
        <v>0.99762481435240957</v>
      </c>
    </row>
    <row r="37" spans="4:10" x14ac:dyDescent="0.35">
      <c r="D37" s="2">
        <v>17.5</v>
      </c>
      <c r="E37" s="22">
        <f t="shared" si="3"/>
        <v>0.14937306098593972</v>
      </c>
      <c r="F37" s="22">
        <f t="shared" si="3"/>
        <v>0.17337697707482305</v>
      </c>
      <c r="G37" s="22">
        <f t="shared" si="3"/>
        <v>0.20000000002684118</v>
      </c>
      <c r="H37" s="27">
        <f t="shared" si="4"/>
        <v>0.99994443644811426</v>
      </c>
      <c r="I37" s="27">
        <f t="shared" si="5"/>
        <v>0.99961185967119803</v>
      </c>
      <c r="J37" s="27">
        <f t="shared" si="5"/>
        <v>0.99849339559669659</v>
      </c>
    </row>
    <row r="38" spans="4:10" x14ac:dyDescent="0.35">
      <c r="D38" s="2">
        <v>18</v>
      </c>
      <c r="E38" s="22">
        <f t="shared" si="3"/>
        <v>0.1470827937965474</v>
      </c>
      <c r="F38" s="22">
        <f t="shared" si="3"/>
        <v>0.172101586048616</v>
      </c>
      <c r="G38" s="22">
        <f t="shared" si="3"/>
        <v>0.20000000002928556</v>
      </c>
      <c r="H38" s="27" t="e">
        <f t="shared" si="4"/>
        <v>#VALUE!</v>
      </c>
      <c r="I38" s="27" t="e">
        <f t="shared" si="5"/>
        <v>#VALUE!</v>
      </c>
      <c r="J38" s="27" t="e">
        <f t="shared" si="5"/>
        <v>#VALUE!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7"/>
  <sheetViews>
    <sheetView topLeftCell="A25" zoomScale="70" zoomScaleNormal="70" workbookViewId="0">
      <selection activeCell="W41" sqref="W41"/>
    </sheetView>
  </sheetViews>
  <sheetFormatPr defaultRowHeight="14.5" x14ac:dyDescent="0.35"/>
  <cols>
    <col min="4" max="4" width="11.81640625" bestFit="1" customWidth="1"/>
    <col min="7" max="7" width="11.81640625" bestFit="1" customWidth="1"/>
    <col min="10" max="10" width="11.81640625" bestFit="1" customWidth="1"/>
  </cols>
  <sheetData>
    <row r="1" spans="1:12" x14ac:dyDescent="0.35">
      <c r="D1">
        <v>0.5</v>
      </c>
      <c r="E1">
        <v>0.5</v>
      </c>
      <c r="F1">
        <v>0.5</v>
      </c>
      <c r="G1">
        <v>0.5</v>
      </c>
      <c r="H1">
        <v>0.5</v>
      </c>
      <c r="I1">
        <v>0.5</v>
      </c>
    </row>
    <row r="2" spans="1:12" x14ac:dyDescent="0.35">
      <c r="C2" t="s">
        <v>44</v>
      </c>
      <c r="D2" t="s">
        <v>49</v>
      </c>
      <c r="E2" t="s">
        <v>49</v>
      </c>
      <c r="F2" t="s">
        <v>49</v>
      </c>
      <c r="G2" t="s">
        <v>50</v>
      </c>
      <c r="H2" t="s">
        <v>50</v>
      </c>
      <c r="I2" t="s">
        <v>50</v>
      </c>
      <c r="J2" t="s">
        <v>51</v>
      </c>
      <c r="K2" t="s">
        <v>51</v>
      </c>
      <c r="L2" t="s">
        <v>51</v>
      </c>
    </row>
    <row r="3" spans="1:12" x14ac:dyDescent="0.35">
      <c r="C3">
        <v>10</v>
      </c>
      <c r="D3" s="2">
        <f t="shared" ref="D3:D27" si="0">UpAndOutCall($C3,$B$7,$B$6,$B$4,$B$5,D$1,$B$9)</f>
        <v>1.8091190893675176E-60</v>
      </c>
      <c r="E3" s="2">
        <f t="shared" ref="E3:E27" si="1">UpAndOutCallDelta($C3,$B$7,$B$6,$B$4,$B$5,E$1,$B$9)</f>
        <v>2.1074116888316703E-59</v>
      </c>
      <c r="F3" s="2">
        <f t="shared" ref="F3:F27" si="2">UpAndOutCallVega($C3,$B$7,$B$6,$B$4,$B$5,F$1,$B$9)</f>
        <v>2.4353013513321409E-57</v>
      </c>
      <c r="G3" s="2">
        <f>UpAndInCall($C3,$B$7,$B$6,$B$4,$B$5,G$1,$B$9)</f>
        <v>2.6601407137582249E-72</v>
      </c>
      <c r="H3" s="2">
        <f t="shared" ref="H3:H14" si="3">UpAndInCallDelta($C3,$B$7,$B$6,$B$4,$B$5,H$1,$B$9)</f>
        <v>3.423635238897303E-71</v>
      </c>
      <c r="I3" s="2">
        <f>UpAndinCallVega($C3,$B$7,$B$6,$B$4,$B$5,I$1,$B$9)</f>
        <v>4.4057869634062899E-69</v>
      </c>
      <c r="J3" s="2">
        <f>BlackCallPriceFwd(C3,$B$9,$D$1,$B$7)</f>
        <v>1.8091190893701778E-60</v>
      </c>
      <c r="K3" s="2">
        <f>BlackCallDelta(C3,0,0,$B$9,$D$1,$B$7,0.0001)</f>
        <v>2.1074121738706775E-59</v>
      </c>
      <c r="L3" s="2">
        <f>BlackCallvega(C3,0,0,$B$9,$D$1,$B$7,0.0001)</f>
        <v>2.4318594172176612E-57</v>
      </c>
    </row>
    <row r="4" spans="1:12" x14ac:dyDescent="0.35">
      <c r="A4" t="s">
        <v>45</v>
      </c>
      <c r="B4">
        <v>0</v>
      </c>
      <c r="C4">
        <v>15</v>
      </c>
      <c r="D4" s="2">
        <f t="shared" si="0"/>
        <v>9.9951500779772064E-42</v>
      </c>
      <c r="E4" s="2">
        <f t="shared" si="1"/>
        <v>6.4231052537108995E-41</v>
      </c>
      <c r="F4" s="2">
        <f t="shared" si="2"/>
        <v>9.1733211502128453E-39</v>
      </c>
      <c r="G4" s="2">
        <f t="shared" ref="G4:G27" si="4">UpAndInCall($C4,$B$7,$B$6,$B$4,$B$5,G$1,$B$9)</f>
        <v>2.0496716809773024E-51</v>
      </c>
      <c r="H4" s="2">
        <f t="shared" si="3"/>
        <v>1.4830237622523332E-50</v>
      </c>
      <c r="I4" s="2">
        <f t="shared" ref="I4:I27" si="5">UpAndinCallVega($C4,$B$7,$B$6,$B$4,$B$5,I$1,$B$9)</f>
        <v>2.4073196426339711E-48</v>
      </c>
      <c r="J4" s="2">
        <f t="shared" ref="J4:J27" si="6">BlackCallPriceFwd(C4,$B$9,$D$1,$B$7)</f>
        <v>9.9951500800268785E-42</v>
      </c>
      <c r="K4" s="2">
        <f t="shared" ref="K4:K27" si="7">BlackCallDelta(C4,0,0,$B$9,$D$1,$B$7,0.0001)</f>
        <v>6.4231057251163556E-41</v>
      </c>
      <c r="L4" s="2">
        <f t="shared" ref="L4:L27" si="8">BlackCallvega(C4,0,0,$B$9,$D$1,$B$7,0.0001)</f>
        <v>9.1535072538254657E-39</v>
      </c>
    </row>
    <row r="5" spans="1:12" x14ac:dyDescent="0.35">
      <c r="A5" t="s">
        <v>46</v>
      </c>
      <c r="B5">
        <v>0</v>
      </c>
      <c r="C5">
        <v>20</v>
      </c>
      <c r="D5" s="2">
        <f t="shared" si="0"/>
        <v>1.4289939206232788E-30</v>
      </c>
      <c r="E5" s="2">
        <f t="shared" si="1"/>
        <v>5.8722555116886622E-30</v>
      </c>
      <c r="F5" s="2">
        <f t="shared" si="2"/>
        <v>9.4938658246593332E-28</v>
      </c>
      <c r="G5" s="2">
        <f t="shared" si="4"/>
        <v>9.5233972038049236E-39</v>
      </c>
      <c r="H5" s="2">
        <f t="shared" si="3"/>
        <v>4.4877155405255772E-38</v>
      </c>
      <c r="I5" s="2">
        <f t="shared" si="5"/>
        <v>8.4117659534288403E-36</v>
      </c>
      <c r="J5" s="2">
        <f t="shared" si="6"/>
        <v>1.4289939301466761E-30</v>
      </c>
      <c r="K5" s="2">
        <f t="shared" si="7"/>
        <v>5.8722557714026929E-30</v>
      </c>
      <c r="L5" s="2">
        <f t="shared" si="8"/>
        <v>9.4710940455943906E-28</v>
      </c>
    </row>
    <row r="6" spans="1:12" x14ac:dyDescent="0.35">
      <c r="A6" t="s">
        <v>47</v>
      </c>
      <c r="B6">
        <v>130</v>
      </c>
      <c r="C6">
        <v>25</v>
      </c>
      <c r="D6" s="2">
        <f t="shared" si="0"/>
        <v>3.8702967940300768E-23</v>
      </c>
      <c r="E6" s="2">
        <f t="shared" si="1"/>
        <v>1.1024992088149113E-22</v>
      </c>
      <c r="F6" s="2">
        <f t="shared" si="2"/>
        <v>1.9218215575568513E-20</v>
      </c>
      <c r="G6" s="2">
        <f t="shared" si="4"/>
        <v>3.7680655282491141E-30</v>
      </c>
      <c r="H6" s="2">
        <f t="shared" si="3"/>
        <v>1.2538095247834954E-29</v>
      </c>
      <c r="I6" s="2">
        <f t="shared" si="5"/>
        <v>2.5855137305876483E-27</v>
      </c>
      <c r="J6" s="2">
        <f t="shared" si="6"/>
        <v>3.8702971708366295E-23</v>
      </c>
      <c r="K6" s="2">
        <f t="shared" si="7"/>
        <v>1.1024993516324791E-22</v>
      </c>
      <c r="L6" s="2">
        <f t="shared" si="8"/>
        <v>1.9170431838197904E-20</v>
      </c>
    </row>
    <row r="7" spans="1:12" x14ac:dyDescent="0.35">
      <c r="A7" t="s">
        <v>0</v>
      </c>
      <c r="B7">
        <v>100</v>
      </c>
      <c r="C7">
        <v>30</v>
      </c>
      <c r="D7" s="2">
        <f t="shared" si="0"/>
        <v>7.4687947673209917E-18</v>
      </c>
      <c r="E7" s="2">
        <f t="shared" si="1"/>
        <v>1.5509450130230808E-17</v>
      </c>
      <c r="F7" s="2">
        <f t="shared" si="2"/>
        <v>2.8233563388397446E-15</v>
      </c>
      <c r="G7" s="2">
        <f t="shared" si="4"/>
        <v>6.3941754100601871E-24</v>
      </c>
      <c r="H7" s="2">
        <f t="shared" si="3"/>
        <v>1.5808260948582521E-23</v>
      </c>
      <c r="I7" s="2">
        <f t="shared" si="5"/>
        <v>3.4766958483142188E-21</v>
      </c>
      <c r="J7" s="2">
        <f t="shared" si="6"/>
        <v>7.468801161496402E-18</v>
      </c>
      <c r="K7" s="2">
        <f t="shared" si="7"/>
        <v>1.5509465988538267E-17</v>
      </c>
      <c r="L7" s="2">
        <f t="shared" si="8"/>
        <v>2.8162183937582191E-15</v>
      </c>
    </row>
    <row r="8" spans="1:12" x14ac:dyDescent="0.35">
      <c r="C8">
        <v>35</v>
      </c>
      <c r="D8" s="2">
        <f t="shared" si="0"/>
        <v>6.2047268081425716E-14</v>
      </c>
      <c r="E8" s="2">
        <f t="shared" si="1"/>
        <v>9.7155011649603096E-14</v>
      </c>
      <c r="F8" s="2">
        <f t="shared" si="2"/>
        <v>1.8043532832983737E-11</v>
      </c>
      <c r="G8" s="2">
        <f t="shared" si="4"/>
        <v>3.2839903093028885E-19</v>
      </c>
      <c r="H8" s="2">
        <f t="shared" si="3"/>
        <v>6.2453532613311547E-19</v>
      </c>
      <c r="I8" s="2">
        <f t="shared" si="5"/>
        <v>1.4329286061266799E-16</v>
      </c>
      <c r="J8" s="2">
        <f t="shared" si="6"/>
        <v>6.2047596480456645E-14</v>
      </c>
      <c r="K8" s="2">
        <f t="shared" si="7"/>
        <v>9.7155634720849915E-14</v>
      </c>
      <c r="L8" s="2">
        <f t="shared" si="8"/>
        <v>1.7997365808447589E-11</v>
      </c>
    </row>
    <row r="9" spans="1:12" x14ac:dyDescent="0.35">
      <c r="A9" t="s">
        <v>48</v>
      </c>
      <c r="B9" s="10">
        <v>0.2</v>
      </c>
      <c r="C9">
        <v>40</v>
      </c>
      <c r="D9" s="2">
        <f t="shared" si="0"/>
        <v>6.0794495561553991E-11</v>
      </c>
      <c r="E9" s="2">
        <f t="shared" si="1"/>
        <v>7.3504204020517467E-11</v>
      </c>
      <c r="F9" s="2">
        <f t="shared" si="2"/>
        <v>1.3670063427388693E-8</v>
      </c>
      <c r="G9" s="2">
        <f t="shared" si="4"/>
        <v>1.5337700630473409E-15</v>
      </c>
      <c r="H9" s="2">
        <f t="shared" si="3"/>
        <v>2.3002190104769582E-15</v>
      </c>
      <c r="I9" s="2">
        <f t="shared" si="5"/>
        <v>5.4135132799492239E-13</v>
      </c>
      <c r="J9" s="2">
        <f t="shared" si="6"/>
        <v>6.0796029331617032E-11</v>
      </c>
      <c r="K9" s="2">
        <f t="shared" si="7"/>
        <v>7.3506503760916561E-11</v>
      </c>
      <c r="L9" s="2">
        <f t="shared" si="8"/>
        <v>1.3634850640877672E-8</v>
      </c>
    </row>
    <row r="10" spans="1:12" x14ac:dyDescent="0.35">
      <c r="C10">
        <v>45</v>
      </c>
      <c r="D10" s="2">
        <f t="shared" si="0"/>
        <v>1.29870816637408E-8</v>
      </c>
      <c r="E10" s="2">
        <f t="shared" si="1"/>
        <v>1.2332978795880766E-8</v>
      </c>
      <c r="F10" s="2">
        <f t="shared" si="2"/>
        <v>2.2605689083155302E-6</v>
      </c>
      <c r="G10" s="2">
        <f t="shared" si="4"/>
        <v>1.2776165688673316E-12</v>
      </c>
      <c r="H10" s="2">
        <f t="shared" si="3"/>
        <v>1.5390389389839328E-12</v>
      </c>
      <c r="I10" s="2">
        <f t="shared" si="5"/>
        <v>3.6645664783938331E-10</v>
      </c>
      <c r="J10" s="2">
        <f t="shared" si="6"/>
        <v>1.2988359280309668E-8</v>
      </c>
      <c r="K10" s="2">
        <f t="shared" si="7"/>
        <v>1.2334517748966072E-8</v>
      </c>
      <c r="L10" s="2">
        <f t="shared" si="8"/>
        <v>2.2548638620640583E-6</v>
      </c>
    </row>
    <row r="11" spans="1:12" x14ac:dyDescent="0.35">
      <c r="C11">
        <v>50</v>
      </c>
      <c r="D11" s="2">
        <f t="shared" si="0"/>
        <v>9.010602045351174E-7</v>
      </c>
      <c r="E11" s="2">
        <f t="shared" si="1"/>
        <v>6.8039061027565989E-7</v>
      </c>
      <c r="F11" s="2">
        <f t="shared" si="2"/>
        <v>1.2114773321144253E-4</v>
      </c>
      <c r="G11" s="2">
        <f t="shared" si="4"/>
        <v>2.9432611865499465E-10</v>
      </c>
      <c r="H11" s="2">
        <f t="shared" si="3"/>
        <v>2.8875733810173204E-10</v>
      </c>
      <c r="I11" s="2">
        <f t="shared" si="5"/>
        <v>6.874451531180765E-8</v>
      </c>
      <c r="J11" s="2">
        <f t="shared" si="6"/>
        <v>9.013545306537724E-7</v>
      </c>
      <c r="K11" s="2">
        <f t="shared" si="7"/>
        <v>6.806793744588183E-7</v>
      </c>
      <c r="L11" s="2">
        <f t="shared" si="8"/>
        <v>1.2087908087842748E-4</v>
      </c>
    </row>
    <row r="12" spans="1:12" x14ac:dyDescent="0.35">
      <c r="C12">
        <v>55</v>
      </c>
      <c r="D12" s="2">
        <f t="shared" si="0"/>
        <v>2.6628637122505558E-5</v>
      </c>
      <c r="E12" s="2">
        <f t="shared" si="1"/>
        <v>1.6128018295123573E-5</v>
      </c>
      <c r="F12" s="2">
        <f t="shared" si="2"/>
        <v>2.7509656198679657E-3</v>
      </c>
      <c r="G12" s="2">
        <f t="shared" si="4"/>
        <v>2.5300227052305248E-8</v>
      </c>
      <c r="H12" s="2">
        <f t="shared" si="3"/>
        <v>2.0428806855388912E-8</v>
      </c>
      <c r="I12" s="2">
        <f t="shared" si="5"/>
        <v>4.8113425344572016E-6</v>
      </c>
      <c r="J12" s="2">
        <f t="shared" si="6"/>
        <v>2.6653937349557863E-5</v>
      </c>
      <c r="K12" s="2">
        <f t="shared" si="7"/>
        <v>1.6148447106320238E-5</v>
      </c>
      <c r="L12" s="2">
        <f t="shared" si="8"/>
        <v>2.7477404493766776E-3</v>
      </c>
    </row>
    <row r="13" spans="1:12" x14ac:dyDescent="0.35">
      <c r="C13">
        <v>60</v>
      </c>
      <c r="D13" s="2">
        <f t="shared" si="0"/>
        <v>4.0594683274086191E-4</v>
      </c>
      <c r="E13" s="2">
        <f t="shared" si="1"/>
        <v>1.9835383511742925E-4</v>
      </c>
      <c r="F13" s="2">
        <f t="shared" si="2"/>
        <v>3.1950602004702587E-2</v>
      </c>
      <c r="G13" s="2">
        <f t="shared" si="4"/>
        <v>1.0034948743681187E-6</v>
      </c>
      <c r="H13" s="2">
        <f t="shared" si="3"/>
        <v>6.7217459142880772E-7</v>
      </c>
      <c r="I13" s="2">
        <f t="shared" si="5"/>
        <v>1.5505743098949198E-4</v>
      </c>
      <c r="J13" s="2">
        <f t="shared" si="6"/>
        <v>4.0695032761523003E-4</v>
      </c>
      <c r="K13" s="2">
        <f t="shared" si="7"/>
        <v>1.9902600926238702E-4</v>
      </c>
      <c r="L13" s="2">
        <f t="shared" si="8"/>
        <v>3.2006388979675678E-2</v>
      </c>
    </row>
    <row r="14" spans="1:12" x14ac:dyDescent="0.35">
      <c r="C14">
        <v>65</v>
      </c>
      <c r="D14" s="2">
        <f t="shared" si="0"/>
        <v>3.6695806887475134E-3</v>
      </c>
      <c r="E14" s="2">
        <f t="shared" si="1"/>
        <v>1.4511186588721939E-3</v>
      </c>
      <c r="F14" s="2">
        <f t="shared" si="2"/>
        <v>0.21729018043015277</v>
      </c>
      <c r="G14" s="2">
        <f t="shared" si="4"/>
        <v>2.1450268460181229E-5</v>
      </c>
      <c r="H14" s="2">
        <f t="shared" si="3"/>
        <v>1.1988783484503396E-5</v>
      </c>
      <c r="I14" s="2">
        <f t="shared" si="5"/>
        <v>2.6825060384583618E-3</v>
      </c>
      <c r="J14" s="2">
        <f t="shared" si="6"/>
        <v>3.6910309572076947E-3</v>
      </c>
      <c r="K14" s="2">
        <f t="shared" si="7"/>
        <v>1.4631074381731002E-3</v>
      </c>
      <c r="L14" s="2">
        <f t="shared" si="8"/>
        <v>0.2192420316352397</v>
      </c>
    </row>
    <row r="15" spans="1:12" x14ac:dyDescent="0.35">
      <c r="C15">
        <v>70</v>
      </c>
      <c r="D15" s="2">
        <f t="shared" si="0"/>
        <v>2.1817383209162409E-2</v>
      </c>
      <c r="E15" s="2">
        <f t="shared" si="1"/>
        <v>6.9858359796545746E-3</v>
      </c>
      <c r="F15" s="2">
        <f t="shared" si="2"/>
        <v>0.95424712069028939</v>
      </c>
      <c r="G15" s="2">
        <f t="shared" si="4"/>
        <v>2.7762647554896138E-4</v>
      </c>
      <c r="H15" s="2">
        <f t="shared" ref="H15:H27" si="9">UpAndInCallDelta($C15,$B$7,$B$6,$B$4,$B$5,H$1,$B$9)</f>
        <v>1.3000056162039853E-4</v>
      </c>
      <c r="I15" s="2">
        <f t="shared" si="5"/>
        <v>2.7936431593739149E-2</v>
      </c>
      <c r="J15" s="2">
        <f t="shared" si="6"/>
        <v>2.209500968471137E-2</v>
      </c>
      <c r="K15" s="2">
        <f t="shared" si="7"/>
        <v>7.1158365574572335E-3</v>
      </c>
      <c r="L15" s="2">
        <f t="shared" si="8"/>
        <v>0.97862778059986866</v>
      </c>
    </row>
    <row r="16" spans="1:12" x14ac:dyDescent="0.35">
      <c r="C16">
        <v>75</v>
      </c>
      <c r="D16" s="2">
        <f t="shared" si="0"/>
        <v>9.2267260649598837E-2</v>
      </c>
      <c r="E16" s="2">
        <f t="shared" si="1"/>
        <v>2.3857893433065765E-2</v>
      </c>
      <c r="F16" s="2">
        <f t="shared" si="2"/>
        <v>2.899323793927044</v>
      </c>
      <c r="G16" s="2">
        <f t="shared" si="4"/>
        <v>2.3789396919358919E-3</v>
      </c>
      <c r="H16" s="2">
        <f t="shared" si="9"/>
        <v>9.3565017446079607E-4</v>
      </c>
      <c r="I16" s="2">
        <f t="shared" si="5"/>
        <v>0.19110876255555226</v>
      </c>
      <c r="J16" s="2">
        <f t="shared" si="6"/>
        <v>9.4646200341534731E-2</v>
      </c>
      <c r="K16" s="2">
        <f t="shared" si="7"/>
        <v>2.4793543549686548E-2</v>
      </c>
      <c r="L16" s="2">
        <f t="shared" si="8"/>
        <v>3.0780394445085317</v>
      </c>
    </row>
    <row r="17" spans="3:12" x14ac:dyDescent="0.35">
      <c r="C17">
        <v>80</v>
      </c>
      <c r="D17" s="2">
        <f t="shared" si="0"/>
        <v>0.29464320301568964</v>
      </c>
      <c r="E17" s="2">
        <f t="shared" si="1"/>
        <v>6.1099624021343495E-2</v>
      </c>
      <c r="F17" s="2">
        <f t="shared" si="2"/>
        <v>6.3624885935920075</v>
      </c>
      <c r="G17" s="2">
        <f t="shared" si="4"/>
        <v>1.4471272874823381E-2</v>
      </c>
      <c r="H17" s="2">
        <f t="shared" si="9"/>
        <v>4.7861614782540585E-3</v>
      </c>
      <c r="I17" s="2">
        <f t="shared" si="5"/>
        <v>0.91869981305153081</v>
      </c>
      <c r="J17" s="2">
        <f t="shared" si="6"/>
        <v>0.309114475890513</v>
      </c>
      <c r="K17" s="2">
        <f t="shared" si="7"/>
        <v>6.588578555843938E-2</v>
      </c>
      <c r="L17" s="2">
        <f t="shared" si="8"/>
        <v>7.2482504342524789</v>
      </c>
    </row>
    <row r="18" spans="3:12" x14ac:dyDescent="0.35">
      <c r="C18">
        <v>85</v>
      </c>
      <c r="D18" s="2">
        <f t="shared" si="0"/>
        <v>0.74366325493283536</v>
      </c>
      <c r="E18" s="2">
        <f t="shared" si="1"/>
        <v>0.12204245378177879</v>
      </c>
      <c r="F18" s="2">
        <f t="shared" si="2"/>
        <v>10.203167932343327</v>
      </c>
      <c r="G18" s="2">
        <f t="shared" si="4"/>
        <v>6.6056266072421668E-2</v>
      </c>
      <c r="H18" s="2">
        <f t="shared" si="9"/>
        <v>1.8369200129736418E-2</v>
      </c>
      <c r="I18" s="2">
        <f t="shared" si="5"/>
        <v>3.2715050984920278</v>
      </c>
      <c r="J18" s="2">
        <f t="shared" si="6"/>
        <v>0.80971952100525701</v>
      </c>
      <c r="K18" s="2">
        <f t="shared" si="7"/>
        <v>0.14041165384226506</v>
      </c>
      <c r="L18" s="2">
        <f t="shared" si="8"/>
        <v>13.404472815468083</v>
      </c>
    </row>
    <row r="19" spans="3:12" x14ac:dyDescent="0.35">
      <c r="C19">
        <v>90</v>
      </c>
      <c r="D19" s="2">
        <f t="shared" si="0"/>
        <v>1.535839388170182</v>
      </c>
      <c r="E19" s="2">
        <f t="shared" si="1"/>
        <v>0.19481233810569873</v>
      </c>
      <c r="F19" s="2">
        <f t="shared" si="2"/>
        <v>11.356434309506279</v>
      </c>
      <c r="G19" s="2">
        <f t="shared" si="4"/>
        <v>0.2366117122986155</v>
      </c>
      <c r="H19" s="2">
        <f t="shared" si="9"/>
        <v>5.524775019416505E-2</v>
      </c>
      <c r="I19" s="2">
        <f t="shared" si="5"/>
        <v>8.9943453099511341</v>
      </c>
      <c r="J19" s="2">
        <f t="shared" si="6"/>
        <v>1.7724511004687975</v>
      </c>
      <c r="K19" s="2">
        <f t="shared" si="7"/>
        <v>0.25006008822270331</v>
      </c>
      <c r="L19" s="2">
        <f t="shared" si="8"/>
        <v>20.225754977998278</v>
      </c>
    </row>
    <row r="20" spans="3:12" x14ac:dyDescent="0.35">
      <c r="C20">
        <v>95</v>
      </c>
      <c r="D20" s="2">
        <f t="shared" si="0"/>
        <v>2.6633019562557529</v>
      </c>
      <c r="E20" s="2">
        <f t="shared" si="1"/>
        <v>0.25024250491778588</v>
      </c>
      <c r="F20" s="2">
        <f t="shared" si="2"/>
        <v>6.1557663441957891</v>
      </c>
      <c r="G20" s="2">
        <f t="shared" si="4"/>
        <v>0.68987826850625522</v>
      </c>
      <c r="H20" s="2">
        <f t="shared" si="9"/>
        <v>0.13490551570294329</v>
      </c>
      <c r="I20" s="2">
        <f t="shared" si="5"/>
        <v>19.717416829018173</v>
      </c>
      <c r="J20" s="2">
        <f t="shared" si="6"/>
        <v>3.3531802247620082</v>
      </c>
      <c r="K20" s="2">
        <f t="shared" si="7"/>
        <v>0.38514802002342918</v>
      </c>
      <c r="L20" s="2">
        <f t="shared" si="8"/>
        <v>25.680612970311323</v>
      </c>
    </row>
    <row r="21" spans="3:12" x14ac:dyDescent="0.35">
      <c r="C21">
        <v>100</v>
      </c>
      <c r="D21" s="2">
        <f t="shared" si="0"/>
        <v>3.9494560357332449</v>
      </c>
      <c r="E21" s="2">
        <f t="shared" si="1"/>
        <v>0.25283211617654899</v>
      </c>
      <c r="F21" s="2">
        <f t="shared" si="2"/>
        <v>-6.9163560876939192</v>
      </c>
      <c r="G21" s="2">
        <f t="shared" si="4"/>
        <v>1.6877417439684188</v>
      </c>
      <c r="H21" s="2">
        <f t="shared" si="9"/>
        <v>0.27535387290278379</v>
      </c>
      <c r="I21" s="2">
        <f t="shared" si="5"/>
        <v>35.319491869656439</v>
      </c>
      <c r="J21" s="2">
        <f t="shared" si="6"/>
        <v>5.6371977797016637</v>
      </c>
      <c r="K21" s="2">
        <f t="shared" si="7"/>
        <v>0.52818598885728818</v>
      </c>
      <c r="L21" s="2">
        <f t="shared" si="8"/>
        <v>28.139043554866738</v>
      </c>
    </row>
    <row r="22" spans="3:12" x14ac:dyDescent="0.35">
      <c r="C22">
        <v>105</v>
      </c>
      <c r="D22" s="2">
        <f t="shared" si="0"/>
        <v>5.0640353229050765</v>
      </c>
      <c r="E22" s="2">
        <f t="shared" si="1"/>
        <v>0.17985363860439915</v>
      </c>
      <c r="F22" s="2">
        <f t="shared" si="2"/>
        <v>-25.086443239485941</v>
      </c>
      <c r="G22" s="2">
        <f t="shared" si="4"/>
        <v>3.5539385234113992</v>
      </c>
      <c r="H22" s="2">
        <f t="shared" si="9"/>
        <v>0.48133497165814271</v>
      </c>
      <c r="I22" s="2">
        <f t="shared" si="5"/>
        <v>52.58507616114904</v>
      </c>
      <c r="J22" s="2">
        <f t="shared" si="6"/>
        <v>8.6179738463164757</v>
      </c>
      <c r="K22" s="2">
        <f t="shared" si="7"/>
        <v>0.66118860956088099</v>
      </c>
      <c r="L22" s="2">
        <f t="shared" si="8"/>
        <v>27.168035778171173</v>
      </c>
    </row>
    <row r="23" spans="3:12" x14ac:dyDescent="0.35">
      <c r="C23">
        <v>110</v>
      </c>
      <c r="D23" s="2">
        <f t="shared" si="0"/>
        <v>5.6285502272834531</v>
      </c>
      <c r="E23" s="2">
        <f t="shared" si="1"/>
        <v>3.6216484566864438E-2</v>
      </c>
      <c r="F23" s="2">
        <f t="shared" si="2"/>
        <v>-41.729807125445717</v>
      </c>
      <c r="G23" s="2">
        <f t="shared" si="4"/>
        <v>6.5826962062896275</v>
      </c>
      <c r="H23" s="2">
        <f t="shared" si="9"/>
        <v>0.73554348922755242</v>
      </c>
      <c r="I23" s="2">
        <f t="shared" si="5"/>
        <v>65.632428908735108</v>
      </c>
      <c r="J23" s="2">
        <f t="shared" si="6"/>
        <v>12.211246433573081</v>
      </c>
      <c r="K23" s="2">
        <f t="shared" si="7"/>
        <v>0.77175997303058352</v>
      </c>
      <c r="L23" s="2">
        <f t="shared" si="8"/>
        <v>23.516736154771678</v>
      </c>
    </row>
    <row r="24" spans="3:12" x14ac:dyDescent="0.35">
      <c r="C24">
        <v>115</v>
      </c>
      <c r="D24" s="2">
        <f t="shared" si="0"/>
        <v>5.362947284814501</v>
      </c>
      <c r="E24" s="2">
        <f t="shared" si="1"/>
        <v>-0.14486100159416537</v>
      </c>
      <c r="F24" s="2">
        <f t="shared" si="2"/>
        <v>-49.455380627261285</v>
      </c>
      <c r="G24" s="2">
        <f t="shared" si="4"/>
        <v>10.927040523661995</v>
      </c>
      <c r="H24" s="2">
        <f t="shared" si="9"/>
        <v>1.0000558404499316</v>
      </c>
      <c r="I24" s="2">
        <f t="shared" si="5"/>
        <v>68.40025711154496</v>
      </c>
      <c r="J24" s="2">
        <f t="shared" si="6"/>
        <v>16.289987808476496</v>
      </c>
      <c r="K24" s="2">
        <f t="shared" si="7"/>
        <v>0.85519483866036694</v>
      </c>
      <c r="L24" s="2">
        <f t="shared" si="8"/>
        <v>18.517272354987568</v>
      </c>
    </row>
    <row r="25" spans="3:12" x14ac:dyDescent="0.35">
      <c r="C25">
        <v>120</v>
      </c>
      <c r="D25" s="2">
        <f t="shared" si="0"/>
        <v>4.1975892540312962</v>
      </c>
      <c r="E25" s="2">
        <f t="shared" si="1"/>
        <v>-0.3155305609681136</v>
      </c>
      <c r="F25" s="2">
        <f t="shared" si="2"/>
        <v>-43.878510545880538</v>
      </c>
      <c r="G25" s="2">
        <f t="shared" si="4"/>
        <v>16.522823263824424</v>
      </c>
      <c r="H25" s="2">
        <f t="shared" si="9"/>
        <v>1.228602746472518</v>
      </c>
      <c r="I25" s="2">
        <f t="shared" si="5"/>
        <v>57.76235331911294</v>
      </c>
      <c r="J25" s="2">
        <f t="shared" si="6"/>
        <v>20.720412517855721</v>
      </c>
      <c r="K25" s="2">
        <f t="shared" si="7"/>
        <v>0.91307218472280738</v>
      </c>
      <c r="L25" s="2">
        <f t="shared" si="8"/>
        <v>13.427300640085349</v>
      </c>
    </row>
    <row r="26" spans="3:12" x14ac:dyDescent="0.35">
      <c r="C26">
        <v>125</v>
      </c>
      <c r="D26" s="2">
        <f t="shared" si="0"/>
        <v>2.2979198280393121</v>
      </c>
      <c r="E26" s="2">
        <f t="shared" si="1"/>
        <v>-0.43273020189360517</v>
      </c>
      <c r="F26" s="2">
        <f t="shared" si="2"/>
        <v>-25.724625527345776</v>
      </c>
      <c r="G26" s="2">
        <f t="shared" si="4"/>
        <v>23.088473266823833</v>
      </c>
      <c r="H26" s="2">
        <f t="shared" si="9"/>
        <v>1.3831127184005252</v>
      </c>
      <c r="I26" s="2">
        <f t="shared" si="5"/>
        <v>35.260134162129475</v>
      </c>
      <c r="J26" s="2">
        <f t="shared" si="6"/>
        <v>25.386393094863145</v>
      </c>
      <c r="K26" s="2">
        <f t="shared" si="7"/>
        <v>0.95038251631152093</v>
      </c>
      <c r="L26" s="2">
        <f t="shared" si="8"/>
        <v>9.0603130428412726</v>
      </c>
    </row>
    <row r="27" spans="3:12" x14ac:dyDescent="0.35">
      <c r="C27">
        <v>130</v>
      </c>
      <c r="D27" s="2">
        <f t="shared" si="0"/>
        <v>0</v>
      </c>
      <c r="E27" s="2">
        <f t="shared" si="1"/>
        <v>-0.47294077933912598</v>
      </c>
      <c r="F27" s="2">
        <f t="shared" si="2"/>
        <v>-0.23649715323870166</v>
      </c>
      <c r="G27" s="2">
        <f t="shared" si="4"/>
        <v>30.199700106318694</v>
      </c>
      <c r="H27" s="2">
        <f t="shared" si="9"/>
        <v>1.4458827347851864</v>
      </c>
      <c r="I27" s="2">
        <f t="shared" si="5"/>
        <v>6.4630042189151018</v>
      </c>
      <c r="J27" s="2">
        <f t="shared" si="6"/>
        <v>30.199700106318694</v>
      </c>
      <c r="K27" s="2">
        <f t="shared" si="7"/>
        <v>0.97294195548158768</v>
      </c>
      <c r="L27" s="2">
        <f t="shared" si="8"/>
        <v>5.7400336616098002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C1" workbookViewId="0">
      <selection activeCell="E15" sqref="E15"/>
    </sheetView>
  </sheetViews>
  <sheetFormatPr defaultRowHeight="14.5" x14ac:dyDescent="0.35"/>
  <cols>
    <col min="4" max="4" width="14.6328125" bestFit="1" customWidth="1"/>
    <col min="5" max="6" width="11.90625" style="21" bestFit="1" customWidth="1"/>
    <col min="7" max="7" width="11.81640625" style="21" bestFit="1" customWidth="1"/>
    <col min="8" max="8" width="10.7265625" style="21" customWidth="1"/>
    <col min="9" max="10" width="9.36328125" style="21" bestFit="1" customWidth="1"/>
    <col min="13" max="13" width="12" customWidth="1"/>
    <col min="14" max="14" width="11.54296875" customWidth="1"/>
    <col min="15" max="15" width="9.36328125" bestFit="1" customWidth="1"/>
  </cols>
  <sheetData>
    <row r="1" spans="1:16" x14ac:dyDescent="0.35">
      <c r="D1" t="s">
        <v>4</v>
      </c>
      <c r="E1">
        <v>10</v>
      </c>
      <c r="F1">
        <v>10</v>
      </c>
      <c r="G1">
        <v>10</v>
      </c>
    </row>
    <row r="2" spans="1:16" x14ac:dyDescent="0.35">
      <c r="D2" t="s">
        <v>37</v>
      </c>
      <c r="E2" s="1">
        <f>E7*$B$9</f>
        <v>0.79432823472428182</v>
      </c>
      <c r="F2" s="1">
        <f t="shared" ref="F2:G2" si="0">F7*$B$9</f>
        <v>0.50118723362727235</v>
      </c>
      <c r="G2" s="1">
        <f t="shared" si="0"/>
        <v>0.316227766016838</v>
      </c>
    </row>
    <row r="3" spans="1:16" x14ac:dyDescent="0.35">
      <c r="D3" t="s">
        <v>9</v>
      </c>
      <c r="E3">
        <v>0.1</v>
      </c>
      <c r="F3">
        <v>0.3</v>
      </c>
      <c r="G3">
        <v>0.5</v>
      </c>
    </row>
    <row r="4" spans="1:16" x14ac:dyDescent="0.35">
      <c r="D4" t="s">
        <v>14</v>
      </c>
      <c r="E4">
        <v>-0.5</v>
      </c>
      <c r="F4">
        <v>-0.5</v>
      </c>
      <c r="G4">
        <v>-0.5</v>
      </c>
    </row>
    <row r="5" spans="1:16" x14ac:dyDescent="0.35">
      <c r="D5" t="s">
        <v>15</v>
      </c>
      <c r="E5">
        <v>0.4</v>
      </c>
      <c r="F5">
        <v>0.4</v>
      </c>
      <c r="G5">
        <v>0.4</v>
      </c>
    </row>
    <row r="6" spans="1:16" x14ac:dyDescent="0.35">
      <c r="D6" t="s">
        <v>16</v>
      </c>
      <c r="E6">
        <v>1</v>
      </c>
      <c r="F6" s="21">
        <v>1</v>
      </c>
      <c r="G6" s="21">
        <v>1</v>
      </c>
    </row>
    <row r="7" spans="1:16" x14ac:dyDescent="0.35">
      <c r="D7" t="s">
        <v>39</v>
      </c>
      <c r="E7" s="4">
        <f>E1^(1-E3)</f>
        <v>7.9432823472428176</v>
      </c>
      <c r="F7" s="4">
        <f>F1^(1-F3)</f>
        <v>5.0118723362727229</v>
      </c>
      <c r="G7" s="4">
        <f>G1^(1-G3)</f>
        <v>3.1622776601683795</v>
      </c>
    </row>
    <row r="8" spans="1:16" x14ac:dyDescent="0.35">
      <c r="D8" t="s">
        <v>36</v>
      </c>
      <c r="E8" s="15">
        <f>E2/E7</f>
        <v>0.1</v>
      </c>
      <c r="F8" s="15">
        <f>F2/F7</f>
        <v>0.10000000000000002</v>
      </c>
      <c r="G8" s="15">
        <f>G2/G7</f>
        <v>0.10000000000000002</v>
      </c>
    </row>
    <row r="9" spans="1:16" x14ac:dyDescent="0.35">
      <c r="A9" t="s">
        <v>40</v>
      </c>
      <c r="B9" s="10">
        <v>0.1</v>
      </c>
      <c r="E9" s="21" t="s">
        <v>41</v>
      </c>
      <c r="F9" s="21" t="s">
        <v>42</v>
      </c>
      <c r="G9" s="23" t="s">
        <v>43</v>
      </c>
    </row>
    <row r="10" spans="1:16" x14ac:dyDescent="0.35">
      <c r="D10" s="2">
        <v>4</v>
      </c>
      <c r="E10" s="22">
        <f>sabr($E$1,$D10,E$6,E$2,E$3,E$4,E$5)</f>
        <v>0.25984665788785011</v>
      </c>
      <c r="F10" s="22">
        <f>sabr($E$1,$D10,F$6,F$2,F$3,F$4,F$5)</f>
        <v>0.24904310910313043</v>
      </c>
      <c r="G10" s="22">
        <f t="shared" ref="F10:G25" si="1">sabr($E$1,$D10,G$6,G$2,G$3,G$4,G$5)</f>
        <v>0.23850774703263358</v>
      </c>
      <c r="H10" s="24"/>
      <c r="I10" s="24"/>
      <c r="J10" s="24"/>
      <c r="M10" s="20"/>
      <c r="N10" s="20"/>
      <c r="O10" s="20"/>
      <c r="P10" s="20"/>
    </row>
    <row r="11" spans="1:16" x14ac:dyDescent="0.35">
      <c r="D11" s="2">
        <v>4.5</v>
      </c>
      <c r="E11" s="22">
        <f t="shared" ref="E11:G38" si="2">sabr($E$1,$D11,E$6,E$2,E$3,E$4,E$5)</f>
        <v>0.23949883906399885</v>
      </c>
      <c r="F11" s="22">
        <f t="shared" ref="F11:F17" si="3">sabr($E$1,$D11,F$6,F$2,F$3,F$4,F$5)</f>
        <v>0.23016374795887284</v>
      </c>
      <c r="G11" s="22">
        <f t="shared" si="1"/>
        <v>0.22107624612567764</v>
      </c>
      <c r="H11" s="24"/>
      <c r="I11" s="24"/>
      <c r="J11" s="24"/>
      <c r="M11" s="20"/>
      <c r="N11" s="20"/>
      <c r="O11" s="20"/>
      <c r="P11" s="20"/>
    </row>
    <row r="12" spans="1:16" x14ac:dyDescent="0.35">
      <c r="D12" s="2">
        <v>5</v>
      </c>
      <c r="E12" s="22">
        <f t="shared" si="2"/>
        <v>0.22114510420457612</v>
      </c>
      <c r="F12" s="22">
        <f t="shared" si="3"/>
        <v>0.21311996488364798</v>
      </c>
      <c r="G12" s="22">
        <f t="shared" si="1"/>
        <v>0.20531368689414378</v>
      </c>
      <c r="H12" s="24"/>
      <c r="I12" s="24"/>
      <c r="J12" s="24"/>
      <c r="M12" s="20"/>
      <c r="N12" s="20"/>
      <c r="O12" s="20"/>
      <c r="P12" s="20"/>
    </row>
    <row r="13" spans="1:16" x14ac:dyDescent="0.35">
      <c r="D13" s="2">
        <v>5.5</v>
      </c>
      <c r="E13" s="22">
        <f t="shared" si="2"/>
        <v>0.20442715227511143</v>
      </c>
      <c r="F13" s="22">
        <f t="shared" si="3"/>
        <v>0.1975749119712478</v>
      </c>
      <c r="G13" s="22">
        <f t="shared" si="1"/>
        <v>0.19090939337996024</v>
      </c>
      <c r="H13" s="24"/>
      <c r="I13" s="24"/>
      <c r="J13" s="24"/>
      <c r="M13" s="20"/>
      <c r="N13" s="20"/>
      <c r="O13" s="20"/>
      <c r="P13" s="20"/>
    </row>
    <row r="14" spans="1:16" x14ac:dyDescent="0.35">
      <c r="D14" s="2">
        <v>6</v>
      </c>
      <c r="E14" s="22">
        <f t="shared" si="2"/>
        <v>0.18907838320025372</v>
      </c>
      <c r="F14" s="22">
        <f t="shared" si="3"/>
        <v>0.18328018651362332</v>
      </c>
      <c r="G14" s="22">
        <f t="shared" si="1"/>
        <v>0.17763610266914648</v>
      </c>
      <c r="H14" s="24"/>
      <c r="I14" s="24"/>
      <c r="J14" s="24"/>
    </row>
    <row r="15" spans="1:16" x14ac:dyDescent="0.35">
      <c r="D15" s="2">
        <v>6.5</v>
      </c>
      <c r="E15" s="22">
        <f t="shared" si="2"/>
        <v>0.17489777136477064</v>
      </c>
      <c r="F15" s="22">
        <f t="shared" si="3"/>
        <v>0.17005032864357209</v>
      </c>
      <c r="G15" s="22">
        <f t="shared" si="1"/>
        <v>0.1653257739378648</v>
      </c>
      <c r="H15" s="24"/>
      <c r="I15" s="24"/>
      <c r="J15" s="24"/>
      <c r="M15" s="1"/>
      <c r="N15" s="1"/>
      <c r="O15" s="1"/>
      <c r="P15" s="1"/>
    </row>
    <row r="16" spans="1:16" x14ac:dyDescent="0.35">
      <c r="D16" s="2">
        <v>7</v>
      </c>
      <c r="E16" s="22">
        <f t="shared" si="2"/>
        <v>0.1617341551578956</v>
      </c>
      <c r="F16" s="22">
        <f t="shared" si="3"/>
        <v>0.1577476866332308</v>
      </c>
      <c r="G16" s="22">
        <f t="shared" si="1"/>
        <v>0.15385544174983831</v>
      </c>
      <c r="H16" s="24"/>
      <c r="I16" s="24"/>
      <c r="J16" s="24"/>
      <c r="M16" s="1"/>
      <c r="N16" s="1"/>
      <c r="O16" s="1"/>
      <c r="P16" s="1"/>
    </row>
    <row r="17" spans="4:10" x14ac:dyDescent="0.35">
      <c r="D17" s="2">
        <v>7.5</v>
      </c>
      <c r="E17" s="22">
        <f t="shared" si="2"/>
        <v>0.14947744759294845</v>
      </c>
      <c r="F17" s="22">
        <f t="shared" si="3"/>
        <v>0.1462741306746983</v>
      </c>
      <c r="G17" s="22">
        <f t="shared" si="1"/>
        <v>0.1431396874818428</v>
      </c>
      <c r="H17" s="24"/>
      <c r="I17" s="24"/>
      <c r="J17" s="24"/>
    </row>
    <row r="18" spans="4:10" x14ac:dyDescent="0.35">
      <c r="D18" s="2">
        <v>8</v>
      </c>
      <c r="E18" s="22">
        <f t="shared" si="2"/>
        <v>0.13805522678813878</v>
      </c>
      <c r="F18" s="22">
        <f t="shared" si="1"/>
        <v>0.13556805892551482</v>
      </c>
      <c r="G18" s="22">
        <f t="shared" si="1"/>
        <v>0.13312821933150931</v>
      </c>
      <c r="H18" s="24"/>
      <c r="I18" s="24"/>
      <c r="J18" s="24"/>
    </row>
    <row r="19" spans="4:10" x14ac:dyDescent="0.35">
      <c r="D19" s="2">
        <v>8.5</v>
      </c>
      <c r="E19" s="22">
        <f t="shared" si="2"/>
        <v>0.12743436850331732</v>
      </c>
      <c r="F19" s="22">
        <f t="shared" si="1"/>
        <v>0.12560630150389293</v>
      </c>
      <c r="G19" s="22">
        <f t="shared" si="1"/>
        <v>0.12380813981556214</v>
      </c>
      <c r="H19" s="24"/>
      <c r="I19" s="24"/>
      <c r="J19" s="24"/>
    </row>
    <row r="20" spans="4:10" x14ac:dyDescent="0.35">
      <c r="D20" s="2">
        <v>9</v>
      </c>
      <c r="E20" s="22">
        <f t="shared" si="2"/>
        <v>0.11762804385987415</v>
      </c>
      <c r="F20" s="22">
        <f t="shared" si="1"/>
        <v>0.1164110700931429</v>
      </c>
      <c r="G20" s="22">
        <f t="shared" si="1"/>
        <v>0.11521088171855652</v>
      </c>
      <c r="H20" s="24"/>
      <c r="I20" s="24"/>
      <c r="J20" s="24"/>
    </row>
    <row r="21" spans="4:10" x14ac:dyDescent="0.35">
      <c r="D21" s="2">
        <v>9.5</v>
      </c>
      <c r="E21" s="22">
        <f t="shared" si="2"/>
        <v>0.10870788235154438</v>
      </c>
      <c r="F21" s="22">
        <f t="shared" si="1"/>
        <v>0.10806133732809325</v>
      </c>
      <c r="G21" s="22">
        <f t="shared" si="1"/>
        <v>0.10742278150499394</v>
      </c>
      <c r="H21" s="24"/>
      <c r="I21" s="24"/>
      <c r="J21" s="24"/>
    </row>
    <row r="22" spans="4:10" x14ac:dyDescent="0.35">
      <c r="D22" s="2">
        <v>10.00001</v>
      </c>
      <c r="E22" s="22">
        <f t="shared" si="2"/>
        <v>0.10081693714220898</v>
      </c>
      <c r="F22" s="22">
        <f t="shared" si="1"/>
        <v>0.10070361408722511</v>
      </c>
      <c r="G22" s="22">
        <f t="shared" si="1"/>
        <v>0.10059362431733246</v>
      </c>
      <c r="H22" s="24"/>
      <c r="I22" s="24"/>
      <c r="J22" s="24"/>
    </row>
    <row r="23" spans="4:10" x14ac:dyDescent="0.35">
      <c r="D23" s="2">
        <v>10.5</v>
      </c>
      <c r="E23" s="22">
        <f t="shared" si="2"/>
        <v>9.4168729646612714E-2</v>
      </c>
      <c r="F23" s="22">
        <f t="shared" si="1"/>
        <v>9.454718849924254E-2</v>
      </c>
      <c r="G23" s="22">
        <f t="shared" si="1"/>
        <v>9.4928155400210365E-2</v>
      </c>
      <c r="H23" s="24"/>
      <c r="I23" s="24"/>
      <c r="J23" s="24"/>
    </row>
    <row r="24" spans="4:10" x14ac:dyDescent="0.35">
      <c r="D24" s="2">
        <v>11</v>
      </c>
      <c r="E24" s="22">
        <f t="shared" si="2"/>
        <v>8.8997491608248283E-2</v>
      </c>
      <c r="F24" s="22">
        <f t="shared" si="1"/>
        <v>8.9812267386992564E-2</v>
      </c>
      <c r="G24" s="22">
        <f t="shared" si="1"/>
        <v>9.0632440241010304E-2</v>
      </c>
      <c r="H24" s="24"/>
      <c r="I24" s="24"/>
      <c r="J24" s="24"/>
    </row>
    <row r="25" spans="4:10" x14ac:dyDescent="0.35">
      <c r="D25" s="2">
        <v>11.5</v>
      </c>
      <c r="E25" s="22">
        <f t="shared" si="2"/>
        <v>8.544659547823992E-2</v>
      </c>
      <c r="F25" s="22">
        <f t="shared" si="1"/>
        <v>8.6624941612106654E-2</v>
      </c>
      <c r="G25" s="22">
        <f t="shared" si="1"/>
        <v>8.7815393055168944E-2</v>
      </c>
      <c r="H25" s="24"/>
      <c r="I25" s="24"/>
      <c r="J25" s="24"/>
    </row>
    <row r="26" spans="4:10" x14ac:dyDescent="0.35">
      <c r="D26" s="2">
        <v>12</v>
      </c>
      <c r="E26" s="22">
        <f t="shared" si="2"/>
        <v>8.3455368497129104E-2</v>
      </c>
      <c r="F26" s="22">
        <f t="shared" si="2"/>
        <v>8.4919191464211202E-2</v>
      </c>
      <c r="G26" s="22">
        <f t="shared" si="2"/>
        <v>8.6405044000707157E-2</v>
      </c>
      <c r="H26" s="24"/>
      <c r="I26" s="24"/>
      <c r="J26" s="24"/>
    </row>
    <row r="27" spans="4:10" x14ac:dyDescent="0.35">
      <c r="D27" s="2">
        <v>12.5</v>
      </c>
      <c r="E27" s="22">
        <f t="shared" si="2"/>
        <v>8.2764300073327218E-2</v>
      </c>
      <c r="F27" s="22">
        <f t="shared" si="2"/>
        <v>8.444861816625647E-2</v>
      </c>
      <c r="G27" s="22">
        <f t="shared" si="2"/>
        <v>8.6166311906968079E-2</v>
      </c>
      <c r="H27" s="24"/>
      <c r="I27" s="24"/>
      <c r="J27" s="24"/>
    </row>
    <row r="28" spans="4:10" x14ac:dyDescent="0.35">
      <c r="D28" s="2">
        <v>13</v>
      </c>
      <c r="E28" s="22">
        <f t="shared" si="2"/>
        <v>8.3033101691207242E-2</v>
      </c>
      <c r="F28" s="22">
        <f t="shared" si="2"/>
        <v>8.4894818698304203E-2</v>
      </c>
      <c r="G28" s="22">
        <f t="shared" si="2"/>
        <v>8.680077251075824E-2</v>
      </c>
      <c r="H28" s="24"/>
      <c r="I28" s="24"/>
      <c r="J28" s="24"/>
    </row>
    <row r="29" spans="4:10" x14ac:dyDescent="0.35">
      <c r="D29" s="2">
        <v>13.5</v>
      </c>
      <c r="E29" s="22">
        <f t="shared" si="2"/>
        <v>8.3952445234220754E-2</v>
      </c>
      <c r="F29" s="22">
        <f t="shared" si="2"/>
        <v>8.596758807334022E-2</v>
      </c>
      <c r="G29" s="22">
        <f t="shared" si="2"/>
        <v>8.8036289883396082E-2</v>
      </c>
      <c r="H29" s="24"/>
      <c r="I29" s="24"/>
      <c r="J29" s="24"/>
    </row>
    <row r="30" spans="4:10" x14ac:dyDescent="0.35">
      <c r="D30" s="2">
        <v>14</v>
      </c>
      <c r="E30" s="22">
        <f t="shared" si="2"/>
        <v>8.5288108246249453E-2</v>
      </c>
      <c r="F30" s="22">
        <f t="shared" si="2"/>
        <v>8.7445200788314803E-2</v>
      </c>
      <c r="G30" s="22">
        <f t="shared" si="2"/>
        <v>8.9663384233754209E-2</v>
      </c>
      <c r="H30" s="24"/>
      <c r="I30" s="24"/>
      <c r="J30" s="24"/>
    </row>
    <row r="31" spans="4:10" x14ac:dyDescent="0.35">
      <c r="D31" s="2">
        <v>14.5</v>
      </c>
      <c r="E31" s="22">
        <f t="shared" si="2"/>
        <v>8.6878086803482163E-2</v>
      </c>
      <c r="F31" s="22">
        <f t="shared" si="2"/>
        <v>8.9172650958721122E-2</v>
      </c>
      <c r="G31" s="22">
        <f t="shared" si="2"/>
        <v>9.1534190640103194E-2</v>
      </c>
      <c r="H31" s="24"/>
      <c r="I31" s="24"/>
      <c r="J31" s="24"/>
    </row>
    <row r="32" spans="4:10" x14ac:dyDescent="0.35">
      <c r="D32" s="2">
        <v>15</v>
      </c>
      <c r="E32" s="22">
        <f t="shared" si="2"/>
        <v>8.8614785225830286E-2</v>
      </c>
      <c r="F32" s="22">
        <f t="shared" si="2"/>
        <v>9.1045915662012269E-2</v>
      </c>
      <c r="G32" s="22">
        <f t="shared" si="2"/>
        <v>9.3548512497575148E-2</v>
      </c>
      <c r="H32" s="24"/>
      <c r="I32" s="24"/>
      <c r="J32" s="24"/>
    </row>
    <row r="33" spans="4:10" x14ac:dyDescent="0.35">
      <c r="D33" s="2">
        <v>15.5</v>
      </c>
      <c r="E33" s="22">
        <f t="shared" si="2"/>
        <v>9.0427825597910447E-2</v>
      </c>
      <c r="F33" s="22">
        <f t="shared" si="2"/>
        <v>9.2996301687158126E-2</v>
      </c>
      <c r="G33" s="22">
        <f t="shared" si="2"/>
        <v>9.5639585244371453E-2</v>
      </c>
      <c r="H33" s="24"/>
      <c r="I33" s="24"/>
      <c r="J33" s="24"/>
    </row>
    <row r="34" spans="4:10" x14ac:dyDescent="0.35">
      <c r="D34" s="2">
        <v>16</v>
      </c>
      <c r="E34" s="22">
        <f t="shared" si="2"/>
        <v>9.2271362104748331E-2</v>
      </c>
      <c r="F34" s="22">
        <f t="shared" si="2"/>
        <v>9.497866564133714E-2</v>
      </c>
      <c r="G34" s="22">
        <f t="shared" si="2"/>
        <v>9.7763168734703809E-2</v>
      </c>
      <c r="H34" s="24"/>
      <c r="I34" s="24"/>
      <c r="J34" s="24"/>
    </row>
    <row r="35" spans="4:10" x14ac:dyDescent="0.35">
      <c r="D35" s="2">
        <v>16.5</v>
      </c>
      <c r="E35" s="22">
        <f t="shared" si="2"/>
        <v>9.4115560978497895E-2</v>
      </c>
      <c r="F35" s="22">
        <f t="shared" si="2"/>
        <v>9.6963382228539993E-2</v>
      </c>
      <c r="G35" s="22">
        <f t="shared" si="2"/>
        <v>9.9890003208125827E-2</v>
      </c>
      <c r="H35" s="24"/>
      <c r="I35" s="24"/>
      <c r="J35" s="24"/>
    </row>
    <row r="36" spans="4:10" x14ac:dyDescent="0.35">
      <c r="D36" s="2">
        <v>17</v>
      </c>
      <c r="E36" s="22">
        <f t="shared" si="2"/>
        <v>9.5941067801397883E-2</v>
      </c>
      <c r="F36" s="22">
        <f t="shared" si="2"/>
        <v>9.8931065573304652E-2</v>
      </c>
      <c r="G36" s="22">
        <f t="shared" si="2"/>
        <v>0.10200079293944876</v>
      </c>
      <c r="H36" s="24"/>
      <c r="I36" s="24"/>
      <c r="J36" s="24"/>
    </row>
    <row r="37" spans="4:10" x14ac:dyDescent="0.35">
      <c r="D37" s="2">
        <v>17.5</v>
      </c>
      <c r="E37" s="22">
        <f t="shared" si="2"/>
        <v>9.7735441501220752E-2</v>
      </c>
      <c r="F37" s="22">
        <f t="shared" si="2"/>
        <v>0.10086913342926739</v>
      </c>
      <c r="G37" s="22">
        <f t="shared" si="2"/>
        <v>0.10408290950914265</v>
      </c>
      <c r="H37" s="24"/>
      <c r="I37" s="24"/>
      <c r="J37" s="24"/>
    </row>
    <row r="38" spans="4:10" x14ac:dyDescent="0.35">
      <c r="D38" s="2">
        <v>18</v>
      </c>
      <c r="E38" s="22">
        <f t="shared" si="2"/>
        <v>9.9490845291342084E-2</v>
      </c>
      <c r="F38" s="22">
        <f t="shared" si="2"/>
        <v>0.10276956424594409</v>
      </c>
      <c r="G38" s="22">
        <f t="shared" si="2"/>
        <v>0.10612822214283288</v>
      </c>
      <c r="H38" s="24"/>
      <c r="I38" s="24"/>
      <c r="J38" s="2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N27"/>
  <sheetViews>
    <sheetView zoomScale="85" zoomScaleNormal="85" workbookViewId="0">
      <selection activeCell="I9" sqref="I9:J9"/>
    </sheetView>
  </sheetViews>
  <sheetFormatPr defaultRowHeight="14.5" x14ac:dyDescent="0.35"/>
  <cols>
    <col min="2" max="2" width="12.36328125" bestFit="1" customWidth="1"/>
    <col min="6" max="6" width="13.81640625" customWidth="1"/>
    <col min="7" max="7" width="18.1796875" bestFit="1" customWidth="1"/>
    <col min="8" max="8" width="14.7265625" bestFit="1" customWidth="1"/>
    <col min="9" max="9" width="14.7265625" customWidth="1"/>
    <col min="10" max="10" width="10.26953125" customWidth="1"/>
    <col min="11" max="11" width="11.1796875" customWidth="1"/>
    <col min="12" max="12" width="15.26953125" customWidth="1"/>
    <col min="13" max="13" width="13.6328125" bestFit="1" customWidth="1"/>
  </cols>
  <sheetData>
    <row r="1" spans="2:14" x14ac:dyDescent="0.35">
      <c r="H1" t="s">
        <v>9</v>
      </c>
      <c r="I1" s="6">
        <v>1E-3</v>
      </c>
      <c r="J1" s="6">
        <v>5.0000000000000001E-3</v>
      </c>
      <c r="K1" s="10">
        <v>0.01</v>
      </c>
      <c r="L1" s="10">
        <v>0.02</v>
      </c>
    </row>
    <row r="2" spans="2:14" x14ac:dyDescent="0.35">
      <c r="B2" t="s">
        <v>4</v>
      </c>
      <c r="C2" s="6">
        <v>0.02</v>
      </c>
      <c r="H2" t="s">
        <v>10</v>
      </c>
      <c r="I2" s="5">
        <f>SLNImpliedVol($C$2,$C$2,I1,$C$9,$G$9,$C$4)</f>
        <v>0.19076505405343053</v>
      </c>
      <c r="J2" s="5">
        <f t="shared" ref="J2:L2" si="0">SLNImpliedVol($C$2,$C$2,J1,$C$9,$G$9,$C$4)</f>
        <v>0.16017105002014032</v>
      </c>
      <c r="K2" s="5">
        <f t="shared" si="0"/>
        <v>0.13343225269613718</v>
      </c>
      <c r="L2" s="5">
        <f t="shared" si="0"/>
        <v>0.10004170316441972</v>
      </c>
    </row>
    <row r="3" spans="2:14" x14ac:dyDescent="0.35">
      <c r="F3" t="s">
        <v>0</v>
      </c>
      <c r="G3" t="s">
        <v>3</v>
      </c>
      <c r="H3" s="3" t="s">
        <v>5</v>
      </c>
      <c r="I3" t="s">
        <v>8</v>
      </c>
      <c r="L3" s="3"/>
      <c r="M3" s="3"/>
      <c r="N3" s="3"/>
    </row>
    <row r="4" spans="2:14" x14ac:dyDescent="0.35">
      <c r="B4" t="s">
        <v>6</v>
      </c>
      <c r="C4" s="5">
        <v>0.2</v>
      </c>
      <c r="F4" s="5">
        <v>0.01</v>
      </c>
      <c r="G4" s="4">
        <f t="shared" ref="G4:G9" si="1">BachelierPutPrice($C$2,$C$5,$C$9,F4)</f>
        <v>8.0165487165128305E-6</v>
      </c>
      <c r="H4" s="7">
        <f t="shared" ref="H4:H14" si="2">BlackCallPrice($C$2,0,0,$G$22,$C$9,F4)</f>
        <v>1.0000193296894841E-2</v>
      </c>
      <c r="I4" s="7">
        <f>SLNCallPrice($C$2,I$1,I$2,$C$9,$F4)</f>
        <v>1.0000260509479648E-2</v>
      </c>
      <c r="J4" s="7">
        <f t="shared" ref="J4:L4" si="3">SLNCallPrice($C$2,J$1,J$2,$C$9,$F4)</f>
        <v>1.0000596244671846E-2</v>
      </c>
      <c r="K4" s="7">
        <f t="shared" si="3"/>
        <v>1.0001086497399843E-2</v>
      </c>
      <c r="L4" s="7">
        <f t="shared" si="3"/>
        <v>1.0002038915119943E-2</v>
      </c>
      <c r="M4" s="3"/>
      <c r="N4" s="3"/>
    </row>
    <row r="5" spans="2:14" x14ac:dyDescent="0.35">
      <c r="B5" t="s">
        <v>7</v>
      </c>
      <c r="C5" s="9">
        <f>C2*C4</f>
        <v>4.0000000000000001E-3</v>
      </c>
      <c r="F5" s="5">
        <v>1.2E-2</v>
      </c>
      <c r="G5" s="4">
        <f t="shared" si="1"/>
        <v>3.3962810467318723E-5</v>
      </c>
      <c r="H5" s="7">
        <f t="shared" si="2"/>
        <v>8.0053016189731343E-3</v>
      </c>
      <c r="I5" s="7">
        <f t="shared" ref="I5:L14" si="4">SLNCallPrice($C$2,I$1,I$2,$C$9,$F5)</f>
        <v>8.0060264193052115E-3</v>
      </c>
      <c r="J5" s="7">
        <f t="shared" si="4"/>
        <v>8.0087504336399523E-3</v>
      </c>
      <c r="K5" s="7">
        <f t="shared" si="4"/>
        <v>8.0116605427088226E-3</v>
      </c>
      <c r="L5" s="7">
        <f t="shared" si="4"/>
        <v>8.0160150944586124E-3</v>
      </c>
      <c r="M5" s="3"/>
      <c r="N5" s="3"/>
    </row>
    <row r="6" spans="2:14" x14ac:dyDescent="0.35">
      <c r="F6" s="5">
        <v>1.4E-2</v>
      </c>
      <c r="G6" s="4">
        <f t="shared" si="1"/>
        <v>1.1722717505041863E-4</v>
      </c>
      <c r="H6" s="7">
        <f t="shared" si="2"/>
        <v>6.0500761820990968E-3</v>
      </c>
      <c r="I6" s="7">
        <f t="shared" si="4"/>
        <v>6.0527332735839448E-3</v>
      </c>
      <c r="J6" s="7">
        <f t="shared" si="4"/>
        <v>6.0616357637858628E-3</v>
      </c>
      <c r="K6" s="7">
        <f t="shared" si="4"/>
        <v>6.0699055572770565E-3</v>
      </c>
      <c r="L6" s="7">
        <f t="shared" si="4"/>
        <v>6.0808386152946675E-3</v>
      </c>
      <c r="M6" s="3"/>
      <c r="N6" s="3"/>
    </row>
    <row r="7" spans="2:14" x14ac:dyDescent="0.35">
      <c r="F7" s="5">
        <v>1.6E-2</v>
      </c>
      <c r="G7" s="4">
        <f t="shared" si="1"/>
        <v>3.3326188235074548E-4</v>
      </c>
      <c r="H7" s="7">
        <f t="shared" si="2"/>
        <v>4.2384619109816441E-3</v>
      </c>
      <c r="I7" s="7">
        <f t="shared" si="4"/>
        <v>4.2428673501954351E-3</v>
      </c>
      <c r="J7" s="7">
        <f t="shared" si="4"/>
        <v>4.2570497449322571E-3</v>
      </c>
      <c r="K7" s="7">
        <f t="shared" si="4"/>
        <v>4.2695587873297584E-3</v>
      </c>
      <c r="L7" s="7">
        <f t="shared" si="4"/>
        <v>4.2853144063652862E-3</v>
      </c>
      <c r="M7" s="3"/>
      <c r="N7" s="3"/>
    </row>
    <row r="8" spans="2:14" x14ac:dyDescent="0.35">
      <c r="F8" s="5">
        <v>1.7999999999999999E-2</v>
      </c>
      <c r="G8" s="4">
        <f t="shared" si="1"/>
        <v>7.9118622960522387E-4</v>
      </c>
      <c r="H8" s="7">
        <f t="shared" si="2"/>
        <v>2.7200150675750767E-3</v>
      </c>
      <c r="I8" s="7">
        <f t="shared" si="4"/>
        <v>2.7234396488116626E-3</v>
      </c>
      <c r="J8" s="7">
        <f t="shared" si="4"/>
        <v>2.7343738313078073E-3</v>
      </c>
      <c r="K8" s="7">
        <f t="shared" si="4"/>
        <v>2.7439109828210867E-3</v>
      </c>
      <c r="L8" s="7">
        <f t="shared" si="4"/>
        <v>2.7557933015421024E-3</v>
      </c>
      <c r="M8" s="3"/>
      <c r="N8" s="3"/>
    </row>
    <row r="9" spans="2:14" x14ac:dyDescent="0.35">
      <c r="B9" t="s">
        <v>2</v>
      </c>
      <c r="C9">
        <v>1</v>
      </c>
      <c r="F9" s="5">
        <v>0.02</v>
      </c>
      <c r="G9" s="4">
        <f t="shared" si="1"/>
        <v>1.5957691216057308E-3</v>
      </c>
      <c r="H9" s="7">
        <f t="shared" si="2"/>
        <v>1.5957691216057313E-3</v>
      </c>
      <c r="I9" s="7">
        <f t="shared" si="4"/>
        <v>1.5957691216057306E-3</v>
      </c>
      <c r="J9" s="7">
        <f t="shared" si="4"/>
        <v>1.595769121605728E-3</v>
      </c>
      <c r="K9" s="7">
        <f t="shared" si="4"/>
        <v>1.5957691216057278E-3</v>
      </c>
      <c r="L9" s="7">
        <f t="shared" si="4"/>
        <v>1.5957691216057323E-3</v>
      </c>
      <c r="M9" s="3"/>
      <c r="N9" s="3"/>
    </row>
    <row r="10" spans="2:14" x14ac:dyDescent="0.35">
      <c r="F10" s="5">
        <v>2.1999999999999999E-2</v>
      </c>
      <c r="G10" s="4">
        <f>BachelierCallPrice($C$2,$C$5,$C$9,F10)</f>
        <v>7.9118622960522484E-4</v>
      </c>
      <c r="H10" s="7">
        <f t="shared" si="2"/>
        <v>8.6088893775880006E-4</v>
      </c>
      <c r="I10" s="7">
        <f t="shared" si="4"/>
        <v>8.5760100731326245E-4</v>
      </c>
      <c r="J10" s="7">
        <f t="shared" si="4"/>
        <v>8.4705916669674381E-4</v>
      </c>
      <c r="K10" s="7">
        <f t="shared" si="4"/>
        <v>8.3780920446053261E-4</v>
      </c>
      <c r="L10" s="7">
        <f t="shared" si="4"/>
        <v>8.2621232833330986E-4</v>
      </c>
      <c r="M10" s="3"/>
      <c r="N10" s="3"/>
    </row>
    <row r="11" spans="2:14" x14ac:dyDescent="0.35">
      <c r="F11" s="5">
        <v>2.4E-2</v>
      </c>
      <c r="G11" s="4">
        <f>BachelierCallPrice($C$2,$C$5,$C$9,F11)</f>
        <v>3.3326188235074548E-4</v>
      </c>
      <c r="H11" s="7">
        <f t="shared" si="2"/>
        <v>4.3138110121551009E-4</v>
      </c>
      <c r="I11" s="7">
        <f t="shared" si="4"/>
        <v>4.2665910882605382E-4</v>
      </c>
      <c r="J11" s="7">
        <f t="shared" si="4"/>
        <v>4.1157668526632961E-4</v>
      </c>
      <c r="K11" s="7">
        <f t="shared" si="4"/>
        <v>3.9841707025155531E-4</v>
      </c>
      <c r="L11" s="7">
        <f t="shared" si="4"/>
        <v>3.8202166470522047E-4</v>
      </c>
      <c r="M11" s="3"/>
      <c r="N11" s="3"/>
    </row>
    <row r="12" spans="2:14" x14ac:dyDescent="0.35">
      <c r="F12" s="5">
        <v>2.5999999999999999E-2</v>
      </c>
      <c r="G12" s="4">
        <f>BachelierCallPrice($C$2,$C$5,$C$9,F12)</f>
        <v>1.1722717505041867E-4</v>
      </c>
      <c r="H12" s="7">
        <f t="shared" si="2"/>
        <v>2.030568903929532E-4</v>
      </c>
      <c r="I12" s="7">
        <f t="shared" si="4"/>
        <v>1.9864505994897702E-4</v>
      </c>
      <c r="J12" s="7">
        <f t="shared" si="4"/>
        <v>1.8472282515914017E-4</v>
      </c>
      <c r="K12" s="7">
        <f t="shared" si="4"/>
        <v>1.7279633071612974E-4</v>
      </c>
      <c r="L12" s="7">
        <f t="shared" si="4"/>
        <v>1.5824404437717851E-4</v>
      </c>
      <c r="M12" s="3"/>
      <c r="N12" s="3"/>
    </row>
    <row r="13" spans="2:14" x14ac:dyDescent="0.35">
      <c r="F13" s="5">
        <v>2.8000000000000001E-2</v>
      </c>
      <c r="G13" s="4">
        <f>BachelierCallPrice($C$2,$C$5,$C$9,F13)</f>
        <v>3.3962810467318723E-5</v>
      </c>
      <c r="H13" s="7">
        <f t="shared" si="2"/>
        <v>9.0771484244635237E-5</v>
      </c>
      <c r="I13" s="7">
        <f t="shared" si="4"/>
        <v>8.7488103043909736E-5</v>
      </c>
      <c r="J13" s="7">
        <f t="shared" si="4"/>
        <v>7.7345991298604372E-5</v>
      </c>
      <c r="K13" s="7">
        <f t="shared" si="4"/>
        <v>6.8940381284296833E-5</v>
      </c>
      <c r="L13" s="7">
        <f t="shared" si="4"/>
        <v>5.9071155298185184E-5</v>
      </c>
      <c r="M13" s="3"/>
      <c r="N13" s="3"/>
    </row>
    <row r="14" spans="2:14" x14ac:dyDescent="0.35">
      <c r="F14" s="5">
        <v>0.03</v>
      </c>
      <c r="G14" s="4">
        <f>BachelierCallPrice($C$2,$C$5,$C$9,F14)</f>
        <v>8.0165487165128441E-6</v>
      </c>
      <c r="H14" s="7">
        <f t="shared" si="2"/>
        <v>3.89131053662077E-5</v>
      </c>
      <c r="I14" s="7">
        <f t="shared" si="4"/>
        <v>3.6809631336855061E-5</v>
      </c>
      <c r="J14" s="7">
        <f t="shared" si="4"/>
        <v>3.0508651991771627E-5</v>
      </c>
      <c r="K14" s="7">
        <f t="shared" si="4"/>
        <v>2.5533701642925307E-5</v>
      </c>
      <c r="L14" s="7">
        <f t="shared" si="4"/>
        <v>2.0018868073265905E-5</v>
      </c>
      <c r="M14" s="3"/>
      <c r="N14" s="3"/>
    </row>
    <row r="15" spans="2:14" x14ac:dyDescent="0.35">
      <c r="F15" s="5"/>
      <c r="G15" s="4"/>
      <c r="H15" s="4"/>
      <c r="I15" s="3"/>
      <c r="K15" s="3"/>
      <c r="L15" s="3"/>
      <c r="M15" s="3"/>
      <c r="N15" s="3"/>
    </row>
    <row r="16" spans="2:14" x14ac:dyDescent="0.35">
      <c r="F16" s="5"/>
      <c r="G16" s="4" t="s">
        <v>11</v>
      </c>
      <c r="H16" s="4" t="s">
        <v>12</v>
      </c>
      <c r="I16" s="5">
        <f>I1</f>
        <v>1E-3</v>
      </c>
      <c r="J16" s="5">
        <f t="shared" ref="J16:L16" si="5">J1</f>
        <v>5.0000000000000001E-3</v>
      </c>
      <c r="K16" s="5">
        <f t="shared" si="5"/>
        <v>0.01</v>
      </c>
      <c r="L16" s="5">
        <f t="shared" si="5"/>
        <v>0.02</v>
      </c>
      <c r="M16" s="3"/>
      <c r="N16" s="3"/>
    </row>
    <row r="17" spans="6:14" x14ac:dyDescent="0.35">
      <c r="F17" s="5">
        <v>0.01</v>
      </c>
      <c r="G17" s="4">
        <f t="shared" ref="G17:G27" si="6">BlackImpliedVol($C$2,F4,$C$9,G4,0.2,IF($C$2&lt;F4,TRUE,FALSE))</f>
        <v>0.27814938538411543</v>
      </c>
      <c r="H17" s="4">
        <f t="shared" ref="H17:H27" si="7">BlackImpliedVol($C$2,F4,$C$9,H4,0.2,TRUE)</f>
        <v>0.20033450506381631</v>
      </c>
      <c r="I17" s="4">
        <f>BlackImpliedVol($C$2,$F4,$C$9,I4,0.2,TRUE)</f>
        <v>0.20453516260823237</v>
      </c>
      <c r="J17" s="4">
        <f>BlackImpliedVol($C$2,$F4,$C$9,J4,0.2,TRUE)</f>
        <v>0.21753342639963086</v>
      </c>
      <c r="K17" s="4">
        <f t="shared" ref="K17:L17" si="8">BlackImpliedVol($C$2,$F4,$C$9,K4,0.2,TRUE)</f>
        <v>0.22842877340888118</v>
      </c>
      <c r="L17" s="4">
        <f t="shared" si="8"/>
        <v>0.24152560328762671</v>
      </c>
      <c r="M17" s="3"/>
      <c r="N17" s="3"/>
    </row>
    <row r="18" spans="6:14" x14ac:dyDescent="0.35">
      <c r="F18" s="5">
        <v>1.2E-2</v>
      </c>
      <c r="G18" s="4">
        <f t="shared" si="6"/>
        <v>0.25610953380571089</v>
      </c>
      <c r="H18" s="4">
        <f t="shared" si="7"/>
        <v>0.20033450506387548</v>
      </c>
      <c r="I18" s="4">
        <f t="shared" ref="I18:I27" si="9">BlackImpliedVol($C$2,F5,$C$9,I5,0.2,TRUE)</f>
        <v>0.20323811157847749</v>
      </c>
      <c r="J18" s="4">
        <f>BlackImpliedVol($C$2,$F5,$C$9,J5,0.2,TRUE)</f>
        <v>0.21232407477781787</v>
      </c>
      <c r="K18" s="4">
        <f t="shared" ref="K18:L18" si="10">BlackImpliedVol($C$2,$F5,$C$9,K5,0.2,TRUE)</f>
        <v>0.220042487848087</v>
      </c>
      <c r="L18" s="4">
        <f t="shared" si="10"/>
        <v>0.22942354153566988</v>
      </c>
      <c r="M18" s="3"/>
      <c r="N18" s="3"/>
    </row>
    <row r="19" spans="6:14" x14ac:dyDescent="0.35">
      <c r="F19" s="5">
        <v>1.4E-2</v>
      </c>
      <c r="G19" s="4">
        <f t="shared" si="6"/>
        <v>0.23834567259911099</v>
      </c>
      <c r="H19" s="4">
        <f t="shared" si="7"/>
        <v>0.20033450506388581</v>
      </c>
      <c r="I19" s="4">
        <f t="shared" si="9"/>
        <v>0.20225704101877942</v>
      </c>
      <c r="J19" s="4">
        <f t="shared" ref="J19:L19" si="11">BlackImpliedVol($C$2,$F6,$C$9,J6,0.2,TRUE)</f>
        <v>0.20832163233185938</v>
      </c>
      <c r="K19" s="4">
        <f t="shared" si="11"/>
        <v>0.21352595448126899</v>
      </c>
      <c r="L19" s="4">
        <f t="shared" si="11"/>
        <v>0.21990857207864506</v>
      </c>
      <c r="M19" s="3"/>
      <c r="N19" s="3"/>
    </row>
    <row r="20" spans="6:14" x14ac:dyDescent="0.35">
      <c r="F20" s="5">
        <v>1.6E-2</v>
      </c>
      <c r="G20" s="4">
        <f t="shared" si="6"/>
        <v>0.22360834387129672</v>
      </c>
      <c r="H20" s="4">
        <f t="shared" si="7"/>
        <v>0.20033450506388462</v>
      </c>
      <c r="I20" s="4">
        <f t="shared" si="9"/>
        <v>0.20148415583598983</v>
      </c>
      <c r="J20" s="4">
        <f t="shared" ref="J20:L20" si="12">BlackImpliedVol($C$2,$F7,$C$9,J7,0.2,TRUE)</f>
        <v>0.20513258578239726</v>
      </c>
      <c r="K20" s="4">
        <f t="shared" si="12"/>
        <v>0.20828841075427112</v>
      </c>
      <c r="L20" s="4">
        <f t="shared" si="12"/>
        <v>0.21218772239889949</v>
      </c>
    </row>
    <row r="21" spans="6:14" x14ac:dyDescent="0.35">
      <c r="F21" s="5">
        <v>1.7999999999999999E-2</v>
      </c>
      <c r="G21" s="4">
        <f t="shared" si="6"/>
        <v>0.21111238036210445</v>
      </c>
      <c r="H21" s="4">
        <f t="shared" si="7"/>
        <v>0.20033450506388467</v>
      </c>
      <c r="I21" s="4">
        <f t="shared" si="9"/>
        <v>0.20085646398300358</v>
      </c>
      <c r="J21" s="4">
        <f t="shared" ref="J21:L21" si="13">BlackImpliedVol($C$2,$F8,$C$9,J8,0.2,TRUE)</f>
        <v>0.20252061341751554</v>
      </c>
      <c r="K21" s="4">
        <f t="shared" si="13"/>
        <v>0.20396923372124492</v>
      </c>
      <c r="L21" s="4">
        <f t="shared" si="13"/>
        <v>0.20577039022223995</v>
      </c>
    </row>
    <row r="22" spans="6:14" x14ac:dyDescent="0.35">
      <c r="F22" s="5">
        <v>0.02</v>
      </c>
      <c r="G22" s="8">
        <f t="shared" si="6"/>
        <v>0.20033450506388462</v>
      </c>
      <c r="H22" s="4">
        <f t="shared" si="7"/>
        <v>0.20033450506388487</v>
      </c>
      <c r="I22" s="4">
        <f t="shared" si="9"/>
        <v>0.20033450506388487</v>
      </c>
      <c r="J22" s="4">
        <f t="shared" ref="J22:L22" si="14">BlackImpliedVol($C$2,$F9,$C$9,J9,0.2,TRUE)</f>
        <v>0.20033450506388459</v>
      </c>
      <c r="K22" s="4">
        <f t="shared" si="14"/>
        <v>0.20033450506388431</v>
      </c>
      <c r="L22" s="4">
        <f t="shared" si="14"/>
        <v>0.20033450506388498</v>
      </c>
    </row>
    <row r="23" spans="6:14" x14ac:dyDescent="0.35">
      <c r="F23" s="5">
        <v>2.1999999999999999E-2</v>
      </c>
      <c r="G23" s="4">
        <f t="shared" si="6"/>
        <v>0.19090985901116417</v>
      </c>
      <c r="H23" s="4">
        <f t="shared" si="7"/>
        <v>0.20033450506388456</v>
      </c>
      <c r="I23" s="4">
        <f t="shared" si="9"/>
        <v>0.199892203311483</v>
      </c>
      <c r="J23" s="4">
        <f t="shared" ref="J23:L23" si="15">BlackImpliedVol($C$2,$F10,$C$9,J10,0.2,TRUE)</f>
        <v>0.19847264131187919</v>
      </c>
      <c r="K23" s="4">
        <f t="shared" si="15"/>
        <v>0.19722519604907374</v>
      </c>
      <c r="L23" s="4">
        <f t="shared" si="15"/>
        <v>0.19565874381465828</v>
      </c>
    </row>
    <row r="24" spans="6:14" x14ac:dyDescent="0.35">
      <c r="F24" s="5">
        <v>2.4E-2</v>
      </c>
      <c r="G24" s="4">
        <f t="shared" si="6"/>
        <v>0.1825747477078675</v>
      </c>
      <c r="H24" s="4">
        <f t="shared" si="7"/>
        <v>0.20033450506388506</v>
      </c>
      <c r="I24" s="4">
        <f t="shared" si="9"/>
        <v>0.19951158146925965</v>
      </c>
      <c r="J24" s="4">
        <f t="shared" ref="J24:L24" si="16">BlackImpliedVol($C$2,$F11,$C$9,J11,0.2,TRUE)</f>
        <v>0.19686399870988783</v>
      </c>
      <c r="K24" s="4">
        <f t="shared" si="16"/>
        <v>0.19452905798415751</v>
      </c>
      <c r="L24" s="4">
        <f t="shared" si="16"/>
        <v>0.19158537519532562</v>
      </c>
    </row>
    <row r="25" spans="6:14" x14ac:dyDescent="0.35">
      <c r="F25" s="5">
        <v>2.5999999999999999E-2</v>
      </c>
      <c r="G25" s="4">
        <f t="shared" si="6"/>
        <v>0.17513294110044419</v>
      </c>
      <c r="H25" s="4">
        <f t="shared" si="7"/>
        <v>0.20033450506388462</v>
      </c>
      <c r="I25" s="4">
        <f t="shared" si="9"/>
        <v>0.19917981069419524</v>
      </c>
      <c r="J25" s="4">
        <f t="shared" ref="J25:L25" si="17">BlackImpliedVol($C$2,$F12,$C$9,J12,0.2,TRUE)</f>
        <v>0.19545731922895263</v>
      </c>
      <c r="K25" s="4">
        <f t="shared" si="17"/>
        <v>0.19216439022174575</v>
      </c>
      <c r="L25" s="4">
        <f t="shared" si="17"/>
        <v>0.18799859424240703</v>
      </c>
    </row>
    <row r="26" spans="6:14" x14ac:dyDescent="0.35">
      <c r="F26" s="5">
        <v>2.8000000000000001E-2</v>
      </c>
      <c r="G26" s="4">
        <f t="shared" si="6"/>
        <v>0.16843482560380837</v>
      </c>
      <c r="H26" s="4">
        <f t="shared" si="7"/>
        <v>0.20033450506388481</v>
      </c>
      <c r="I26" s="4">
        <f t="shared" si="9"/>
        <v>0.19888747033231063</v>
      </c>
      <c r="J26" s="4">
        <f t="shared" ref="J26:L26" si="18">BlackImpliedVol($C$2,$F13,$C$9,J13,0.2,TRUE)</f>
        <v>0.1942146061534139</v>
      </c>
      <c r="K26" s="4">
        <f t="shared" si="18"/>
        <v>0.19007018233400533</v>
      </c>
      <c r="L26" s="4">
        <f t="shared" si="18"/>
        <v>0.18481124403611743</v>
      </c>
    </row>
    <row r="27" spans="6:14" x14ac:dyDescent="0.35">
      <c r="F27" s="5">
        <v>0.03</v>
      </c>
      <c r="G27" s="4">
        <f t="shared" si="6"/>
        <v>0.16236396755319019</v>
      </c>
      <c r="H27" s="4">
        <f t="shared" si="7"/>
        <v>0.20033450506388475</v>
      </c>
      <c r="I27" s="4">
        <f t="shared" si="9"/>
        <v>0.19862747344472562</v>
      </c>
      <c r="J27" s="4">
        <f t="shared" ref="J27:L27" si="19">BlackImpliedVol($C$2,$F14,$C$9,J14,0.2,TRUE)</f>
        <v>0.19310704703985337</v>
      </c>
      <c r="K27" s="4">
        <f t="shared" si="19"/>
        <v>0.188199872884668</v>
      </c>
      <c r="L27" s="4">
        <f t="shared" si="19"/>
        <v>0.1819563367950908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P36"/>
  <sheetViews>
    <sheetView workbookViewId="0">
      <selection activeCell="H17" sqref="H17"/>
    </sheetView>
  </sheetViews>
  <sheetFormatPr defaultRowHeight="14.5" x14ac:dyDescent="0.35"/>
  <cols>
    <col min="5" max="5" width="10.1796875" style="21" bestFit="1" customWidth="1"/>
    <col min="6" max="6" width="9.36328125" style="21" customWidth="1"/>
    <col min="7" max="7" width="11.81640625" style="21" bestFit="1" customWidth="1"/>
    <col min="8" max="8" width="10.7265625" style="21" customWidth="1"/>
    <col min="9" max="10" width="9.36328125" style="21" bestFit="1" customWidth="1"/>
    <col min="13" max="13" width="12" customWidth="1"/>
    <col min="14" max="14" width="11.54296875" customWidth="1"/>
    <col min="15" max="15" width="9.36328125" bestFit="1" customWidth="1"/>
  </cols>
  <sheetData>
    <row r="1" spans="4:16" x14ac:dyDescent="0.35">
      <c r="D1" t="s">
        <v>4</v>
      </c>
      <c r="E1">
        <v>10</v>
      </c>
      <c r="F1">
        <v>10</v>
      </c>
      <c r="G1">
        <v>10</v>
      </c>
    </row>
    <row r="2" spans="4:16" x14ac:dyDescent="0.35">
      <c r="D2" t="s">
        <v>13</v>
      </c>
      <c r="E2">
        <v>0.32</v>
      </c>
      <c r="F2">
        <v>0.32</v>
      </c>
      <c r="G2">
        <v>0.32</v>
      </c>
    </row>
    <row r="3" spans="4:16" x14ac:dyDescent="0.35">
      <c r="D3" t="s">
        <v>9</v>
      </c>
      <c r="E3">
        <v>0.8</v>
      </c>
      <c r="F3">
        <v>0.85</v>
      </c>
      <c r="G3">
        <v>0.9</v>
      </c>
    </row>
    <row r="4" spans="4:16" x14ac:dyDescent="0.35">
      <c r="D4" t="s">
        <v>14</v>
      </c>
      <c r="E4">
        <v>0</v>
      </c>
      <c r="F4">
        <v>-0.1</v>
      </c>
      <c r="G4">
        <v>-0.4</v>
      </c>
    </row>
    <row r="5" spans="4:16" x14ac:dyDescent="0.35">
      <c r="D5" t="s">
        <v>15</v>
      </c>
      <c r="E5">
        <v>1.5</v>
      </c>
      <c r="F5">
        <v>0.7</v>
      </c>
      <c r="G5">
        <v>0.3</v>
      </c>
    </row>
    <row r="6" spans="4:16" x14ac:dyDescent="0.35">
      <c r="D6" t="s">
        <v>16</v>
      </c>
      <c r="E6">
        <v>0.5</v>
      </c>
      <c r="F6" s="21">
        <v>1</v>
      </c>
      <c r="G6" s="21">
        <v>2</v>
      </c>
    </row>
    <row r="7" spans="4:16" x14ac:dyDescent="0.35">
      <c r="E7" s="21" t="s">
        <v>30</v>
      </c>
      <c r="F7" s="21" t="s">
        <v>31</v>
      </c>
      <c r="G7" s="23" t="s">
        <v>32</v>
      </c>
      <c r="H7" s="21" t="s">
        <v>30</v>
      </c>
      <c r="I7" s="21" t="s">
        <v>31</v>
      </c>
      <c r="J7" s="21" t="s">
        <v>32</v>
      </c>
    </row>
    <row r="8" spans="4:16" x14ac:dyDescent="0.35">
      <c r="D8" s="2">
        <v>4</v>
      </c>
      <c r="E8" s="22">
        <f>sabr($E$1,$D8,E$6,E$2,E$3,E$4,E$5)</f>
        <v>0.59433295099245909</v>
      </c>
      <c r="F8" s="22">
        <f t="shared" ref="F8:G23" si="0">sabr($E$1,$D8,F$6,F$2,F$3,F$4,F$5)</f>
        <v>0.40552884748386225</v>
      </c>
      <c r="G8" s="22">
        <f t="shared" si="0"/>
        <v>0.3400002111218558</v>
      </c>
      <c r="H8" s="24">
        <f>BlackCallPriceFwd($E$1,E$8,E$6,$D8)</f>
        <v>6.013493777525003</v>
      </c>
      <c r="I8" s="24">
        <f>BlackCallPriceFwd($E$1,F$8,F$6,$D8)</f>
        <v>6.0103919174633873</v>
      </c>
      <c r="J8" s="24">
        <f>BlackCallPriceFwd($E$1,G$8,G$6,$D8)</f>
        <v>6.0323939561922666</v>
      </c>
      <c r="M8" s="20"/>
      <c r="N8" s="20"/>
      <c r="O8" s="20"/>
      <c r="P8" s="20"/>
    </row>
    <row r="9" spans="4:16" x14ac:dyDescent="0.35">
      <c r="D9" s="2">
        <v>4.5</v>
      </c>
      <c r="E9" s="22">
        <f t="shared" ref="E9:G36" si="1">sabr($E$1,$D9,E$6,E$2,E$3,E$4,E$5)</f>
        <v>0.54485605212061672</v>
      </c>
      <c r="F9" s="22">
        <f t="shared" si="0"/>
        <v>0.3802741960102286</v>
      </c>
      <c r="G9" s="22">
        <f t="shared" si="0"/>
        <v>0.32782488293603229</v>
      </c>
      <c r="H9" s="24">
        <f t="shared" ref="H9:H36" si="2">BlackCallPriceFwd($E$1,E$8,E$6,$D9)</f>
        <v>5.5306317121393098</v>
      </c>
      <c r="I9" s="24">
        <f t="shared" ref="I9:I36" si="3">BlackCallPriceFwd($E$1,F$8,F$6,$D9)</f>
        <v>5.5246845715057393</v>
      </c>
      <c r="J9" s="24">
        <f t="shared" ref="J9:J36" si="4">BlackCallPriceFwd($E$1,G$8,G$6,$D9)</f>
        <v>5.5634977830811074</v>
      </c>
      <c r="M9" s="20"/>
      <c r="N9" s="20"/>
      <c r="O9" s="20"/>
      <c r="P9" s="20"/>
    </row>
    <row r="10" spans="4:16" x14ac:dyDescent="0.35">
      <c r="D10" s="2">
        <v>5</v>
      </c>
      <c r="E10" s="22">
        <f t="shared" si="1"/>
        <v>0.49983643591716409</v>
      </c>
      <c r="F10" s="22">
        <f t="shared" si="0"/>
        <v>0.35762878102687373</v>
      </c>
      <c r="G10" s="22">
        <f t="shared" si="0"/>
        <v>0.31703476018970878</v>
      </c>
      <c r="H10" s="24">
        <f t="shared" si="2"/>
        <v>5.0604226201934468</v>
      </c>
      <c r="I10" s="24">
        <f t="shared" si="3"/>
        <v>5.0504846976030677</v>
      </c>
      <c r="J10" s="24">
        <f t="shared" si="4"/>
        <v>5.1113717818840954</v>
      </c>
      <c r="M10" s="20"/>
      <c r="N10" s="20"/>
      <c r="O10" s="20"/>
      <c r="P10" s="20"/>
    </row>
    <row r="11" spans="4:16" x14ac:dyDescent="0.35">
      <c r="D11" s="2">
        <v>5.5</v>
      </c>
      <c r="E11" s="22">
        <f t="shared" si="1"/>
        <v>0.45843112844420353</v>
      </c>
      <c r="F11" s="22">
        <f t="shared" si="0"/>
        <v>0.33718983995538593</v>
      </c>
      <c r="G11" s="22">
        <f t="shared" si="0"/>
        <v>0.307395225091744</v>
      </c>
      <c r="H11" s="24">
        <f t="shared" si="2"/>
        <v>4.6070321509829171</v>
      </c>
      <c r="I11" s="24">
        <f t="shared" si="3"/>
        <v>4.5920805711747645</v>
      </c>
      <c r="J11" s="24">
        <f t="shared" si="4"/>
        <v>4.6793511004860964</v>
      </c>
      <c r="M11" s="20"/>
      <c r="N11" s="20"/>
      <c r="O11" s="20"/>
      <c r="P11" s="20"/>
    </row>
    <row r="12" spans="4:16" x14ac:dyDescent="0.35">
      <c r="D12" s="2">
        <v>6</v>
      </c>
      <c r="E12" s="22">
        <f t="shared" si="1"/>
        <v>0.42003491922091873</v>
      </c>
      <c r="F12" s="22">
        <f t="shared" si="0"/>
        <v>0.31868998094557893</v>
      </c>
      <c r="G12" s="22">
        <f t="shared" si="0"/>
        <v>0.29873398566133191</v>
      </c>
      <c r="H12" s="24">
        <f t="shared" si="2"/>
        <v>4.1742757659004655</v>
      </c>
      <c r="I12" s="24">
        <f t="shared" si="3"/>
        <v>4.1535530398226737</v>
      </c>
      <c r="J12" s="24">
        <f t="shared" si="4"/>
        <v>4.2700716281663684</v>
      </c>
    </row>
    <row r="13" spans="4:16" x14ac:dyDescent="0.35">
      <c r="D13" s="2">
        <v>6.5</v>
      </c>
      <c r="E13" s="22">
        <f t="shared" si="1"/>
        <v>0.38422142601168113</v>
      </c>
      <c r="F13" s="22">
        <f t="shared" si="0"/>
        <v>0.30196416579495672</v>
      </c>
      <c r="G13" s="22">
        <f t="shared" si="0"/>
        <v>0.29092103293241761</v>
      </c>
      <c r="H13" s="24">
        <f t="shared" si="2"/>
        <v>3.7653103919990913</v>
      </c>
      <c r="I13" s="24">
        <f t="shared" si="3"/>
        <v>3.7384054048866107</v>
      </c>
      <c r="J13" s="24">
        <f t="shared" si="4"/>
        <v>3.8853878184934842</v>
      </c>
      <c r="M13" s="1"/>
      <c r="N13" s="1"/>
      <c r="O13" s="1"/>
      <c r="P13" s="1"/>
    </row>
    <row r="14" spans="4:16" x14ac:dyDescent="0.35">
      <c r="D14" s="2">
        <v>7</v>
      </c>
      <c r="E14" s="22">
        <f t="shared" si="1"/>
        <v>0.35072077271310442</v>
      </c>
      <c r="F14" s="22">
        <f t="shared" si="0"/>
        <v>0.28693105257362078</v>
      </c>
      <c r="G14" s="22">
        <f t="shared" si="0"/>
        <v>0.28385593226429795</v>
      </c>
      <c r="H14" s="24">
        <f t="shared" si="2"/>
        <v>3.3824662661434011</v>
      </c>
      <c r="I14" s="24">
        <f t="shared" si="3"/>
        <v>3.3493328434886722</v>
      </c>
      <c r="J14" s="24">
        <f t="shared" si="4"/>
        <v>3.5263881499026821</v>
      </c>
      <c r="M14" s="1"/>
      <c r="N14" s="1"/>
      <c r="O14" s="1"/>
      <c r="P14" s="1"/>
    </row>
    <row r="15" spans="4:16" x14ac:dyDescent="0.35">
      <c r="D15" s="2">
        <v>7.5</v>
      </c>
      <c r="E15" s="22">
        <f t="shared" si="1"/>
        <v>0.31943378663233152</v>
      </c>
      <c r="F15" s="22">
        <f t="shared" si="0"/>
        <v>0.27358164070775637</v>
      </c>
      <c r="G15" s="22">
        <f t="shared" si="0"/>
        <v>0.27745941078850495</v>
      </c>
      <c r="H15" s="24">
        <f t="shared" si="2"/>
        <v>3.0272023666932051</v>
      </c>
      <c r="I15" s="24">
        <f t="shared" si="3"/>
        <v>2.9881286861880811</v>
      </c>
      <c r="J15" s="24">
        <f t="shared" si="4"/>
        <v>3.1934720336557572</v>
      </c>
    </row>
    <row r="16" spans="4:16" x14ac:dyDescent="0.35">
      <c r="D16" s="2">
        <v>8</v>
      </c>
      <c r="E16" s="22">
        <f t="shared" si="1"/>
        <v>0.29049943258259053</v>
      </c>
      <c r="F16" s="22">
        <f t="shared" si="0"/>
        <v>0.26196922390809108</v>
      </c>
      <c r="G16" s="22">
        <f t="shared" si="0"/>
        <v>0.27166758039973171</v>
      </c>
      <c r="H16" s="24">
        <f t="shared" si="2"/>
        <v>2.700153012679297</v>
      </c>
      <c r="I16" s="24">
        <f t="shared" si="3"/>
        <v>2.6556999779974291</v>
      </c>
      <c r="J16" s="24">
        <f t="shared" si="4"/>
        <v>2.8864581712883131</v>
      </c>
    </row>
    <row r="17" spans="4:10" x14ac:dyDescent="0.35">
      <c r="D17" s="2">
        <v>8.5</v>
      </c>
      <c r="E17" s="22">
        <f t="shared" si="1"/>
        <v>0.2644565149143846</v>
      </c>
      <c r="F17" s="22">
        <f t="shared" si="0"/>
        <v>0.25219392430864623</v>
      </c>
      <c r="G17" s="22">
        <f t="shared" si="0"/>
        <v>0.26642784590635177</v>
      </c>
      <c r="H17" s="24">
        <f t="shared" si="2"/>
        <v>2.4012312664515174</v>
      </c>
      <c r="I17" s="24">
        <f t="shared" si="3"/>
        <v>2.3521568671084991</v>
      </c>
      <c r="J17" s="24">
        <f t="shared" si="4"/>
        <v>2.6047027767576147</v>
      </c>
    </row>
    <row r="18" spans="4:10" x14ac:dyDescent="0.35">
      <c r="D18" s="2">
        <v>9</v>
      </c>
      <c r="E18" s="22">
        <f t="shared" si="1"/>
        <v>0.24255414741156339</v>
      </c>
      <c r="F18" s="22">
        <f t="shared" si="0"/>
        <v>0.24437466183918849</v>
      </c>
      <c r="G18" s="22">
        <f t="shared" si="0"/>
        <v>0.2616959341899211</v>
      </c>
      <c r="H18" s="24">
        <f t="shared" si="2"/>
        <v>2.1297600073669258</v>
      </c>
      <c r="I18" s="24">
        <f t="shared" si="3"/>
        <v>2.0769427788402366</v>
      </c>
      <c r="J18" s="24">
        <f t="shared" si="4"/>
        <v>2.3472138287347253</v>
      </c>
    </row>
    <row r="19" spans="4:10" x14ac:dyDescent="0.35">
      <c r="D19" s="2">
        <v>9.5</v>
      </c>
      <c r="E19" s="22">
        <f t="shared" si="1"/>
        <v>0.2270923035933512</v>
      </c>
      <c r="F19" s="22">
        <f t="shared" si="0"/>
        <v>0.2386051528657506</v>
      </c>
      <c r="G19" s="22">
        <f t="shared" si="0"/>
        <v>0.25743369950441075</v>
      </c>
      <c r="H19" s="24">
        <f t="shared" si="2"/>
        <v>1.88460923287514</v>
      </c>
      <c r="I19" s="24">
        <f t="shared" si="3"/>
        <v>1.8289793770928648</v>
      </c>
      <c r="J19" s="24">
        <f t="shared" si="4"/>
        <v>2.1127535743930519</v>
      </c>
    </row>
    <row r="20" spans="4:10" x14ac:dyDescent="0.35">
      <c r="D20" s="2">
        <v>10.00001</v>
      </c>
      <c r="E20" s="22">
        <f t="shared" si="1"/>
        <v>0.22084190760855593</v>
      </c>
      <c r="F20" s="22">
        <f t="shared" si="0"/>
        <v>0.23490182283445005</v>
      </c>
      <c r="G20" s="22">
        <f t="shared" si="0"/>
        <v>0.25360741617307736</v>
      </c>
      <c r="H20" s="24">
        <f t="shared" si="2"/>
        <v>1.6643214633076349</v>
      </c>
      <c r="I20" s="24">
        <f t="shared" si="3"/>
        <v>1.606804143186763</v>
      </c>
      <c r="J20" s="24">
        <f t="shared" si="4"/>
        <v>1.8999217191815794</v>
      </c>
    </row>
    <row r="21" spans="4:10" x14ac:dyDescent="0.35">
      <c r="D21" s="2">
        <v>10.5</v>
      </c>
      <c r="E21" s="22">
        <f t="shared" si="1"/>
        <v>0.22445448343733035</v>
      </c>
      <c r="F21" s="22">
        <f t="shared" si="0"/>
        <v>0.23316614110287073</v>
      </c>
      <c r="G21" s="22">
        <f t="shared" si="0"/>
        <v>0.25018692542027765</v>
      </c>
      <c r="H21" s="24">
        <f t="shared" si="2"/>
        <v>1.4672465872388096</v>
      </c>
      <c r="I21" s="24">
        <f t="shared" si="3"/>
        <v>1.4087190859383363</v>
      </c>
      <c r="J21" s="24">
        <f t="shared" si="4"/>
        <v>1.707246890043959</v>
      </c>
    </row>
    <row r="22" spans="4:10" x14ac:dyDescent="0.35">
      <c r="D22" s="2">
        <v>11</v>
      </c>
      <c r="E22" s="22">
        <f t="shared" si="1"/>
        <v>0.23521590021346425</v>
      </c>
      <c r="F22" s="22">
        <f t="shared" si="0"/>
        <v>0.23318328712375908</v>
      </c>
      <c r="G22" s="22">
        <f t="shared" si="0"/>
        <v>0.24714402268093608</v>
      </c>
      <c r="H22" s="24">
        <f t="shared" si="2"/>
        <v>1.2915952472098995</v>
      </c>
      <c r="I22" s="24">
        <f t="shared" si="3"/>
        <v>1.2328570806082273</v>
      </c>
      <c r="J22" s="24">
        <f t="shared" si="4"/>
        <v>1.5332021788027612</v>
      </c>
    </row>
    <row r="23" spans="4:10" x14ac:dyDescent="0.35">
      <c r="D23" s="2">
        <v>11.5</v>
      </c>
      <c r="E23" s="22">
        <f t="shared" si="1"/>
        <v>0.24969368290588315</v>
      </c>
      <c r="F23" s="22">
        <f t="shared" si="0"/>
        <v>0.23466097574714978</v>
      </c>
      <c r="G23" s="22">
        <f t="shared" si="0"/>
        <v>0.24445255062798577</v>
      </c>
      <c r="H23" s="24">
        <f t="shared" si="2"/>
        <v>1.1355562216300574</v>
      </c>
      <c r="I23" s="24">
        <f t="shared" si="3"/>
        <v>1.0773111609304131</v>
      </c>
      <c r="J23" s="24">
        <f t="shared" si="4"/>
        <v>1.3762882099543261</v>
      </c>
    </row>
    <row r="24" spans="4:10" x14ac:dyDescent="0.35">
      <c r="D24" s="2">
        <v>12</v>
      </c>
      <c r="E24" s="22">
        <f t="shared" si="1"/>
        <v>0.26565135412569535</v>
      </c>
      <c r="F24" s="22">
        <f t="shared" si="1"/>
        <v>0.23728400303330935</v>
      </c>
      <c r="G24" s="22">
        <f t="shared" si="1"/>
        <v>0.24208761321202929</v>
      </c>
      <c r="H24" s="24">
        <f t="shared" si="2"/>
        <v>0.99733327654224624</v>
      </c>
      <c r="I24" s="24">
        <f t="shared" si="3"/>
        <v>0.94018072754348203</v>
      </c>
      <c r="J24" s="24">
        <f t="shared" si="4"/>
        <v>1.2350440021055826</v>
      </c>
    </row>
    <row r="25" spans="4:10" x14ac:dyDescent="0.35">
      <c r="D25" s="2">
        <v>12.5</v>
      </c>
      <c r="E25" s="22">
        <f t="shared" si="1"/>
        <v>0.28194875294764654</v>
      </c>
      <c r="F25" s="22">
        <f t="shared" si="1"/>
        <v>0.24075946593007605</v>
      </c>
      <c r="G25" s="22">
        <f t="shared" si="1"/>
        <v>0.24002538671354276</v>
      </c>
      <c r="H25" s="24">
        <f t="shared" si="2"/>
        <v>0.87519126584912188</v>
      </c>
      <c r="I25" s="24">
        <f t="shared" si="3"/>
        <v>0.81962497249678568</v>
      </c>
      <c r="J25" s="24">
        <f t="shared" si="4"/>
        <v>1.1080727141103912</v>
      </c>
    </row>
    <row r="26" spans="4:10" x14ac:dyDescent="0.35">
      <c r="D26" s="2">
        <v>13</v>
      </c>
      <c r="E26" s="22">
        <f t="shared" si="1"/>
        <v>0.29805001937510828</v>
      </c>
      <c r="F26" s="22">
        <f t="shared" si="1"/>
        <v>0.24484078651686203</v>
      </c>
      <c r="G26" s="22">
        <f t="shared" si="1"/>
        <v>0.23824298293760096</v>
      </c>
      <c r="H26" s="24">
        <f t="shared" si="2"/>
        <v>0.76748489093610761</v>
      </c>
      <c r="I26" s="24">
        <f t="shared" si="3"/>
        <v>0.71389689585533711</v>
      </c>
      <c r="J26" s="24">
        <f t="shared" si="4"/>
        <v>0.99405581630376139</v>
      </c>
    </row>
    <row r="27" spans="4:10" x14ac:dyDescent="0.35">
      <c r="D27" s="2">
        <v>13.5</v>
      </c>
      <c r="E27" s="22">
        <f t="shared" si="1"/>
        <v>0.3137137062320019</v>
      </c>
      <c r="F27" s="22">
        <f t="shared" si="1"/>
        <v>0.24933342587094717</v>
      </c>
      <c r="G27" s="22">
        <f t="shared" si="1"/>
        <v>0.23671840255712481</v>
      </c>
      <c r="H27" s="24">
        <f t="shared" si="2"/>
        <v>0.67267685026098734</v>
      </c>
      <c r="I27" s="24">
        <f t="shared" si="3"/>
        <v>0.62136496487901283</v>
      </c>
      <c r="J27" s="24">
        <f t="shared" si="4"/>
        <v>0.89176139742285487</v>
      </c>
    </row>
    <row r="28" spans="4:10" x14ac:dyDescent="0.35">
      <c r="D28" s="2">
        <v>14</v>
      </c>
      <c r="E28" s="22">
        <f t="shared" si="1"/>
        <v>0.32883970564399778</v>
      </c>
      <c r="F28" s="22">
        <f t="shared" si="1"/>
        <v>0.25409016351586383</v>
      </c>
      <c r="G28" s="22">
        <f t="shared" si="1"/>
        <v>0.23543054829499466</v>
      </c>
      <c r="H28" s="24">
        <f t="shared" si="2"/>
        <v>0.58934772114281031</v>
      </c>
      <c r="I28" s="24">
        <f t="shared" si="3"/>
        <v>0.54052509118567516</v>
      </c>
      <c r="J28" s="24">
        <f t="shared" si="4"/>
        <v>0.80004801233103695</v>
      </c>
    </row>
    <row r="29" spans="4:10" x14ac:dyDescent="0.35">
      <c r="D29" s="2">
        <v>14.5</v>
      </c>
      <c r="E29" s="22">
        <f t="shared" si="1"/>
        <v>0.34339659136555045</v>
      </c>
      <c r="F29" s="22">
        <f t="shared" si="1"/>
        <v>0.25900248669712456</v>
      </c>
      <c r="G29" s="22">
        <f t="shared" si="1"/>
        <v>0.2343592722317713</v>
      </c>
      <c r="H29" s="24">
        <f t="shared" si="2"/>
        <v>0.51619960346225469</v>
      </c>
      <c r="I29" s="24">
        <f t="shared" si="3"/>
        <v>0.47000528064815783</v>
      </c>
      <c r="J29" s="24">
        <f t="shared" si="4"/>
        <v>0.71786522649787299</v>
      </c>
    </row>
    <row r="30" spans="4:10" x14ac:dyDescent="0.35">
      <c r="D30" s="2">
        <v>15</v>
      </c>
      <c r="E30" s="22">
        <f t="shared" si="1"/>
        <v>0.35738658203163798</v>
      </c>
      <c r="F30" s="22">
        <f t="shared" si="1"/>
        <v>0.26399175763596355</v>
      </c>
      <c r="G30" s="22">
        <f t="shared" si="1"/>
        <v>0.23348543664726532</v>
      </c>
      <c r="H30" s="24">
        <f t="shared" si="2"/>
        <v>0.45205521685445177</v>
      </c>
      <c r="I30" s="24">
        <f t="shared" si="3"/>
        <v>0.4085649376065954</v>
      </c>
      <c r="J30" s="24">
        <f t="shared" si="4"/>
        <v>0.64425178676910178</v>
      </c>
    </row>
    <row r="31" spans="4:10" x14ac:dyDescent="0.35">
      <c r="D31" s="2">
        <v>15.5</v>
      </c>
      <c r="E31" s="22">
        <f t="shared" si="1"/>
        <v>0.37082815321182611</v>
      </c>
      <c r="F31" s="22">
        <f t="shared" si="1"/>
        <v>0.26900166027815714</v>
      </c>
      <c r="G31" s="22">
        <f t="shared" si="1"/>
        <v>0.23279097311486058</v>
      </c>
      <c r="H31" s="24">
        <f t="shared" si="2"/>
        <v>0.39585381797188313</v>
      </c>
      <c r="I31" s="24">
        <f t="shared" si="3"/>
        <v>0.35509043349828123</v>
      </c>
      <c r="J31" s="24">
        <f t="shared" si="4"/>
        <v>0.57833215130479898</v>
      </c>
    </row>
    <row r="32" spans="4:10" x14ac:dyDescent="0.35">
      <c r="D32" s="2">
        <v>16</v>
      </c>
      <c r="E32" s="22">
        <f t="shared" si="1"/>
        <v>0.38374717481661025</v>
      </c>
      <c r="F32" s="22">
        <f t="shared" si="1"/>
        <v>0.27399226608491772</v>
      </c>
      <c r="G32" s="22">
        <f t="shared" si="1"/>
        <v>0.23225892963149111</v>
      </c>
      <c r="H32" s="24">
        <f t="shared" si="2"/>
        <v>0.34664501266661724</v>
      </c>
      <c r="I32" s="24">
        <f t="shared" si="3"/>
        <v>0.30858820989363506</v>
      </c>
      <c r="J32" s="24">
        <f t="shared" si="4"/>
        <v>0.51931194609823672</v>
      </c>
    </row>
    <row r="33" spans="4:10" x14ac:dyDescent="0.35">
      <c r="D33" s="2">
        <v>16.5</v>
      </c>
      <c r="E33" s="22">
        <f t="shared" si="1"/>
        <v>0.39617231119107393</v>
      </c>
      <c r="F33" s="22">
        <f t="shared" si="1"/>
        <v>0.27893557161823879</v>
      </c>
      <c r="G33" s="22">
        <f t="shared" si="1"/>
        <v>0.23187350000259219</v>
      </c>
      <c r="H33" s="24">
        <f t="shared" si="2"/>
        <v>0.30358128777491766</v>
      </c>
      <c r="I33" s="24">
        <f t="shared" si="3"/>
        <v>0.26817639080339345</v>
      </c>
      <c r="J33" s="24">
        <f t="shared" si="4"/>
        <v>0.46647277955919247</v>
      </c>
    </row>
    <row r="34" spans="4:10" x14ac:dyDescent="0.35">
      <c r="D34" s="2">
        <v>17</v>
      </c>
      <c r="E34" s="22">
        <f t="shared" si="1"/>
        <v>0.40813262195936367</v>
      </c>
      <c r="F34" s="22">
        <f t="shared" si="1"/>
        <v>0.28381221855830979</v>
      </c>
      <c r="G34" s="22">
        <f t="shared" si="1"/>
        <v>0.23162003326832334</v>
      </c>
      <c r="H34" s="24">
        <f t="shared" si="2"/>
        <v>0.26590987974176822</v>
      </c>
      <c r="I34" s="24">
        <f t="shared" si="3"/>
        <v>0.23307563270288856</v>
      </c>
      <c r="J34" s="24">
        <f t="shared" si="4"/>
        <v>0.41916673709932273</v>
      </c>
    </row>
    <row r="35" spans="4:10" x14ac:dyDescent="0.35">
      <c r="D35" s="2">
        <v>17.5</v>
      </c>
      <c r="E35" s="22">
        <f t="shared" si="1"/>
        <v>0.41965632964916388</v>
      </c>
      <c r="F35" s="22">
        <f t="shared" si="1"/>
        <v>0.28860910932738348</v>
      </c>
      <c r="G35" s="22">
        <f t="shared" si="1"/>
        <v>0.23148502357119019</v>
      </c>
      <c r="H35" s="24">
        <f t="shared" si="2"/>
        <v>0.23296442980984328</v>
      </c>
      <c r="I35" s="24">
        <f t="shared" si="3"/>
        <v>0.20259974103640677</v>
      </c>
      <c r="J35" s="24">
        <f t="shared" si="4"/>
        <v>0.3768107907900019</v>
      </c>
    </row>
    <row r="36" spans="4:10" x14ac:dyDescent="0.35">
      <c r="D36" s="2">
        <v>18</v>
      </c>
      <c r="E36" s="22">
        <f t="shared" si="1"/>
        <v>0.43077021806498988</v>
      </c>
      <c r="F36" s="22">
        <f t="shared" si="1"/>
        <v>0.29331768103344874</v>
      </c>
      <c r="G36" s="22">
        <f t="shared" si="1"/>
        <v>0.23145608257502334</v>
      </c>
      <c r="H36" s="24">
        <f t="shared" si="2"/>
        <v>0.20415674322958005</v>
      </c>
      <c r="I36" s="24">
        <f t="shared" si="3"/>
        <v>0.17614642414898576</v>
      </c>
      <c r="J36" s="24">
        <f t="shared" si="4"/>
        <v>0.33888129126726213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"/>
  <sheetViews>
    <sheetView zoomScale="85" zoomScaleNormal="85" workbookViewId="0">
      <selection activeCell="D6" sqref="D6"/>
    </sheetView>
  </sheetViews>
  <sheetFormatPr defaultRowHeight="14.5" x14ac:dyDescent="0.35"/>
  <cols>
    <col min="5" max="5" width="10.1796875" bestFit="1" customWidth="1"/>
    <col min="6" max="6" width="9.36328125" customWidth="1"/>
    <col min="7" max="7" width="11.81640625" bestFit="1" customWidth="1"/>
    <col min="8" max="8" width="10.7265625" customWidth="1"/>
    <col min="12" max="12" width="9.7265625" bestFit="1" customWidth="1"/>
    <col min="13" max="13" width="12" hidden="1" customWidth="1"/>
    <col min="14" max="14" width="11.54296875" customWidth="1"/>
    <col min="15" max="15" width="9.36328125" bestFit="1" customWidth="1"/>
  </cols>
  <sheetData>
    <row r="1" spans="1:16" x14ac:dyDescent="0.35">
      <c r="H1" t="s">
        <v>25</v>
      </c>
      <c r="I1" s="19">
        <v>10</v>
      </c>
      <c r="K1" t="s">
        <v>1</v>
      </c>
      <c r="L1">
        <v>0.1</v>
      </c>
    </row>
    <row r="2" spans="1:16" x14ac:dyDescent="0.35">
      <c r="F2" t="s">
        <v>23</v>
      </c>
      <c r="G2" s="13">
        <f>BachelierImpliedVol($B$4,$D$16,$B$9,$B$11,$B$4*$E$16)</f>
        <v>2.0811005005693608</v>
      </c>
      <c r="I2" s="19">
        <f>SLNImpliedVol($B$4,D16,$I$1,$B$9,$B$11,$E$16)</f>
        <v>0.10679723163441203</v>
      </c>
    </row>
    <row r="4" spans="1:16" x14ac:dyDescent="0.35">
      <c r="A4" t="s">
        <v>4</v>
      </c>
      <c r="B4">
        <v>10</v>
      </c>
      <c r="D4" t="s">
        <v>0</v>
      </c>
      <c r="E4" s="11" t="s">
        <v>17</v>
      </c>
      <c r="F4" t="s">
        <v>18</v>
      </c>
      <c r="G4" s="12" t="s">
        <v>21</v>
      </c>
      <c r="H4" s="12" t="s">
        <v>22</v>
      </c>
      <c r="I4" s="19" t="s">
        <v>24</v>
      </c>
      <c r="J4" s="19" t="s">
        <v>19</v>
      </c>
      <c r="L4" s="11" t="s">
        <v>0</v>
      </c>
      <c r="M4" t="s">
        <v>26</v>
      </c>
      <c r="N4" t="s">
        <v>27</v>
      </c>
      <c r="O4" t="s">
        <v>24</v>
      </c>
      <c r="P4" t="s">
        <v>28</v>
      </c>
    </row>
    <row r="5" spans="1:16" x14ac:dyDescent="0.35">
      <c r="A5" t="s">
        <v>13</v>
      </c>
      <c r="B5">
        <v>0.32</v>
      </c>
      <c r="D5" s="2">
        <v>3</v>
      </c>
      <c r="E5" s="15">
        <f t="shared" ref="E5:E33" si="0">sabr($B$4,D5,$B$9,$B$5,$B$6,$B$7,$B$8)</f>
        <v>0.44722197480866083</v>
      </c>
      <c r="F5" s="6">
        <f>$E$16</f>
        <v>0.2197068780404757</v>
      </c>
      <c r="G5" s="14">
        <f t="shared" ref="G5:G17" si="1">BachelierCallPrice($B$4,$G$2,$B$9,D5)</f>
        <v>7.0002076375234932</v>
      </c>
      <c r="H5" s="15">
        <f>BlackImpliedVol($B$4,D5,$B$9,G5,E5,TRUE)</f>
        <v>0.35985068968006084</v>
      </c>
      <c r="I5">
        <f>SLNCallPrice($B$4,$I$1,$I$2,$B$9,D5)</f>
        <v>7.0000105801984107</v>
      </c>
      <c r="J5" s="15">
        <f>BlackImpliedVol($B$4,D5,$B$9,I5,E5,TRUE)</f>
        <v>0.29944233304285039</v>
      </c>
      <c r="L5" s="11">
        <v>8</v>
      </c>
      <c r="M5" s="20">
        <f>BlackCallPrice($B$4,0,0,E13,$B$9,L5)</f>
        <v>2.2624678261215072</v>
      </c>
      <c r="N5" s="1">
        <f>BlackCallPrice($B$4,0,0,F14,$B$9,L5)</f>
        <v>2.1582953627806107</v>
      </c>
      <c r="O5" s="1">
        <f>BlackCallPrice($B$4,0,0,J15,$B$9,L5)</f>
        <v>2.1730385650173218</v>
      </c>
      <c r="P5" s="1">
        <f>BlackCallPrice($B$4,0,0,H15,$B$9,L5)</f>
        <v>2.1866422269910171</v>
      </c>
    </row>
    <row r="6" spans="1:16" x14ac:dyDescent="0.35">
      <c r="A6" t="s">
        <v>9</v>
      </c>
      <c r="B6">
        <v>0.8</v>
      </c>
      <c r="D6" s="2">
        <v>3.5</v>
      </c>
      <c r="E6" s="15">
        <f t="shared" si="0"/>
        <v>0.41440904132877626</v>
      </c>
      <c r="F6" s="6">
        <f t="shared" ref="F6:F33" si="2">$E$16</f>
        <v>0.2197068780404757</v>
      </c>
      <c r="G6" s="14">
        <f t="shared" si="1"/>
        <v>6.5005109668684389</v>
      </c>
      <c r="H6" s="15">
        <f t="shared" ref="H6:H33" si="3">BlackImpliedVol($B$4,D6,$B$9,G6,E6,TRUE)</f>
        <v>0.33770434196073434</v>
      </c>
      <c r="I6">
        <f t="shared" ref="I6:I33" si="4">SLNCallPrice($B$4,$I$1,$I$2,$B$9,D6)</f>
        <v>6.5000493061039775</v>
      </c>
      <c r="J6" s="15">
        <f t="shared" ref="J6:J33" si="5">BlackImpliedVol($B$4,D6,$B$9,I6,E6,TRUE)</f>
        <v>0.2860854036149903</v>
      </c>
      <c r="L6" s="11">
        <v>9</v>
      </c>
      <c r="M6" s="20">
        <f>BlackCallPrice($B$4,0,0,E15,$B$9,L6)</f>
        <v>1.4880892705874065</v>
      </c>
      <c r="N6" s="1">
        <f>BlackCallPrice($B$4,0,0,F16,$B$9,L6)</f>
        <v>1.4242853246367706</v>
      </c>
      <c r="O6" s="1">
        <f>BlackCallPrice($B$4,0,0,J16,$B$9,L6)</f>
        <v>1.4242853246367706</v>
      </c>
      <c r="P6" s="1">
        <f>BlackCallPrice($B$4,0,0,H16,$B$9,L6)</f>
        <v>1.4242853246367686</v>
      </c>
    </row>
    <row r="7" spans="1:16" x14ac:dyDescent="0.35">
      <c r="A7" t="s">
        <v>14</v>
      </c>
      <c r="B7">
        <v>-0.1</v>
      </c>
      <c r="D7" s="2">
        <v>4</v>
      </c>
      <c r="E7" s="15">
        <f t="shared" si="0"/>
        <v>0.38569627634274417</v>
      </c>
      <c r="F7" s="6">
        <f t="shared" si="2"/>
        <v>0.2197068780404757</v>
      </c>
      <c r="G7" s="14">
        <f t="shared" si="1"/>
        <v>6.0011947388036093</v>
      </c>
      <c r="H7" s="15">
        <f t="shared" si="3"/>
        <v>0.31915563249326456</v>
      </c>
      <c r="I7">
        <f t="shared" si="4"/>
        <v>6.0001951879357911</v>
      </c>
      <c r="J7" s="15">
        <f t="shared" si="5"/>
        <v>0.2750887056936101</v>
      </c>
    </row>
    <row r="8" spans="1:16" x14ac:dyDescent="0.35">
      <c r="A8" t="s">
        <v>15</v>
      </c>
      <c r="B8">
        <v>0.7</v>
      </c>
      <c r="D8" s="2">
        <v>4.5</v>
      </c>
      <c r="E8" s="15">
        <f t="shared" si="0"/>
        <v>0.36017015978262834</v>
      </c>
      <c r="F8" s="6">
        <f t="shared" si="2"/>
        <v>0.2197068780404757</v>
      </c>
      <c r="G8" s="14">
        <f t="shared" si="1"/>
        <v>5.5026559799848096</v>
      </c>
      <c r="H8" s="15">
        <f t="shared" si="3"/>
        <v>0.30329325327392626</v>
      </c>
      <c r="I8">
        <f t="shared" si="4"/>
        <v>5.5006672924958213</v>
      </c>
      <c r="J8" s="15">
        <f t="shared" si="5"/>
        <v>0.26583340559325441</v>
      </c>
      <c r="L8" t="s">
        <v>33</v>
      </c>
      <c r="M8" s="1">
        <f>(M5-M6)/($L6-$L5)</f>
        <v>0.77437855553410073</v>
      </c>
      <c r="N8" s="1">
        <f>(N5-N6)/($L6-$L5)</f>
        <v>0.73401003814384014</v>
      </c>
      <c r="O8" s="1">
        <f>(O5-O6)/($L6-$L5)</f>
        <v>0.74875324038055124</v>
      </c>
      <c r="P8" s="1">
        <f>(P5-P6)/($L6-$L5)</f>
        <v>0.76235690235424847</v>
      </c>
    </row>
    <row r="9" spans="1:16" x14ac:dyDescent="0.35">
      <c r="A9" t="s">
        <v>16</v>
      </c>
      <c r="B9">
        <v>1</v>
      </c>
      <c r="D9" s="2">
        <v>5</v>
      </c>
      <c r="E9" s="15">
        <f t="shared" si="0"/>
        <v>0.33722130033071812</v>
      </c>
      <c r="F9" s="6">
        <f t="shared" si="2"/>
        <v>0.2197068780404757</v>
      </c>
      <c r="G9" s="14">
        <f t="shared" si="1"/>
        <v>5.0056177427747528</v>
      </c>
      <c r="H9" s="15">
        <f t="shared" si="3"/>
        <v>0.28950564805972795</v>
      </c>
      <c r="I9">
        <f t="shared" si="4"/>
        <v>5.0019991935287091</v>
      </c>
      <c r="J9" s="15">
        <f t="shared" si="5"/>
        <v>0.25790751325233829</v>
      </c>
    </row>
    <row r="10" spans="1:16" x14ac:dyDescent="0.35">
      <c r="D10" s="2">
        <v>5.5</v>
      </c>
      <c r="E10" s="15">
        <f t="shared" si="0"/>
        <v>0.31643547396762689</v>
      </c>
      <c r="F10" s="6">
        <f t="shared" si="2"/>
        <v>0.2197068780404757</v>
      </c>
      <c r="G10" s="14">
        <f t="shared" si="1"/>
        <v>4.5113145671297445</v>
      </c>
      <c r="H10" s="15">
        <f t="shared" si="3"/>
        <v>0.27736364783777989</v>
      </c>
      <c r="I10">
        <f t="shared" si="4"/>
        <v>4.5053180496366156</v>
      </c>
      <c r="J10" s="15">
        <f t="shared" si="5"/>
        <v>0.25102420986195073</v>
      </c>
      <c r="L10" s="11" t="s">
        <v>0</v>
      </c>
      <c r="M10" t="s">
        <v>26</v>
      </c>
      <c r="N10" t="s">
        <v>34</v>
      </c>
      <c r="O10" t="s">
        <v>19</v>
      </c>
      <c r="P10" t="s">
        <v>35</v>
      </c>
    </row>
    <row r="11" spans="1:16" x14ac:dyDescent="0.35">
      <c r="A11" t="s">
        <v>20</v>
      </c>
      <c r="B11">
        <f>BlackCallPrice(B4,0,0,E16,B9,D16)</f>
        <v>1.4242853246367706</v>
      </c>
      <c r="D11" s="2">
        <v>6</v>
      </c>
      <c r="E11" s="15">
        <f t="shared" si="0"/>
        <v>0.29753463696645704</v>
      </c>
      <c r="F11" s="6">
        <f t="shared" si="2"/>
        <v>0.2197068780404757</v>
      </c>
      <c r="G11" s="14">
        <f t="shared" si="1"/>
        <v>4.0217196313097281</v>
      </c>
      <c r="H11" s="15">
        <f t="shared" si="3"/>
        <v>0.26655520067439648</v>
      </c>
      <c r="I11">
        <f t="shared" si="4"/>
        <v>4.0127090050171379</v>
      </c>
      <c r="J11" s="15">
        <f t="shared" si="5"/>
        <v>0.24497660404849758</v>
      </c>
      <c r="L11" s="11">
        <v>8</v>
      </c>
      <c r="M11" s="20">
        <f>BlackCallPrice($B$4,0,0,E19,$B$9,L11)</f>
        <v>2.133913009239671</v>
      </c>
      <c r="N11" s="15">
        <f>F15</f>
        <v>0.2197068780404757</v>
      </c>
      <c r="O11" s="15">
        <f>J15</f>
        <v>0.22656237691283063</v>
      </c>
      <c r="P11" s="15">
        <f>H15</f>
        <v>0.23271592689695816</v>
      </c>
    </row>
    <row r="12" spans="1:16" x14ac:dyDescent="0.35">
      <c r="D12" s="2">
        <v>6.5</v>
      </c>
      <c r="E12" s="15">
        <f t="shared" si="0"/>
        <v>0.28034476083158938</v>
      </c>
      <c r="F12" s="6">
        <f t="shared" si="2"/>
        <v>0.2197068780404757</v>
      </c>
      <c r="G12" s="14">
        <f t="shared" si="1"/>
        <v>3.5397792054305417</v>
      </c>
      <c r="H12" s="15">
        <f t="shared" si="3"/>
        <v>0.2568467676431806</v>
      </c>
      <c r="I12">
        <f t="shared" si="4"/>
        <v>3.5275763519429386</v>
      </c>
      <c r="J12" s="15">
        <f t="shared" si="5"/>
        <v>0.23961108126128725</v>
      </c>
      <c r="L12" s="11">
        <v>9</v>
      </c>
      <c r="M12" s="20">
        <f>BlackCallPrice($B$4,0,0,E21,$B$9,L12)</f>
        <v>1.4006192017051247</v>
      </c>
      <c r="N12" s="15">
        <f>F16</f>
        <v>0.2197068780404757</v>
      </c>
      <c r="O12" s="15">
        <f>J16</f>
        <v>0.2197068780404757</v>
      </c>
      <c r="P12" s="15">
        <f>H16</f>
        <v>0.21970687804047545</v>
      </c>
    </row>
    <row r="13" spans="1:16" x14ac:dyDescent="0.35">
      <c r="D13" s="2">
        <v>7</v>
      </c>
      <c r="E13" s="18">
        <f t="shared" si="0"/>
        <v>0.26477928954297142</v>
      </c>
      <c r="F13" s="6">
        <f t="shared" si="2"/>
        <v>0.2197068780404757</v>
      </c>
      <c r="G13" s="25">
        <f t="shared" si="1"/>
        <v>3.0695916569328707</v>
      </c>
      <c r="H13" s="18">
        <f t="shared" si="3"/>
        <v>0.24805933112481207</v>
      </c>
      <c r="I13" s="26">
        <f t="shared" si="4"/>
        <v>3.0548533537236686</v>
      </c>
      <c r="J13" s="18">
        <f t="shared" si="5"/>
        <v>0.23481081056167785</v>
      </c>
    </row>
    <row r="14" spans="1:16" x14ac:dyDescent="0.35">
      <c r="D14" s="2">
        <v>7.5</v>
      </c>
      <c r="E14" s="15">
        <f t="shared" si="0"/>
        <v>0.25083172396593506</v>
      </c>
      <c r="F14" s="6">
        <f t="shared" si="2"/>
        <v>0.2197068780404757</v>
      </c>
      <c r="G14" s="14">
        <f t="shared" si="1"/>
        <v>2.6164468554446136</v>
      </c>
      <c r="H14" s="15">
        <f t="shared" si="3"/>
        <v>0.24005286407236157</v>
      </c>
      <c r="I14">
        <f t="shared" si="4"/>
        <v>2.6009050872456068</v>
      </c>
      <c r="J14" s="15">
        <f t="shared" si="5"/>
        <v>0.23048511396985161</v>
      </c>
      <c r="O14" s="15"/>
    </row>
    <row r="15" spans="1:16" x14ac:dyDescent="0.35">
      <c r="D15" s="2">
        <v>8</v>
      </c>
      <c r="E15" s="17">
        <f t="shared" si="0"/>
        <v>0.23857165273717357</v>
      </c>
      <c r="F15" s="16">
        <f t="shared" si="2"/>
        <v>0.2197068780404757</v>
      </c>
      <c r="G15" s="14">
        <f t="shared" si="1"/>
        <v>2.1866422269910175</v>
      </c>
      <c r="H15" s="17">
        <f>BlackImpliedVol($B$4,D15,$B$9,G15,E15,TRUE)</f>
        <v>0.23271592689695816</v>
      </c>
      <c r="I15">
        <f t="shared" si="4"/>
        <v>2.1730385650173218</v>
      </c>
      <c r="J15" s="17">
        <f t="shared" si="5"/>
        <v>0.22656237691283063</v>
      </c>
    </row>
    <row r="16" spans="1:16" x14ac:dyDescent="0.35">
      <c r="D16" s="2">
        <v>9</v>
      </c>
      <c r="E16" s="17">
        <f t="shared" si="0"/>
        <v>0.2197068780404757</v>
      </c>
      <c r="F16" s="16">
        <f t="shared" si="2"/>
        <v>0.2197068780404757</v>
      </c>
      <c r="G16" s="14">
        <f t="shared" si="1"/>
        <v>1.4242853246367704</v>
      </c>
      <c r="H16" s="17">
        <f>BlackImpliedVol($B$4,D16,$B$9,G16,E16,TRUE)</f>
        <v>0.21970687804047545</v>
      </c>
      <c r="I16">
        <f>SLNCallPrice($B$4,$I$1,$I$2,$B$9,D16)</f>
        <v>1.4242853246367706</v>
      </c>
      <c r="J16" s="17">
        <f>BlackImpliedVol($B$4,D16,$B$9,I16,E16,TRUE)</f>
        <v>0.2197068780404757</v>
      </c>
    </row>
    <row r="17" spans="4:16" x14ac:dyDescent="0.35">
      <c r="D17" s="2">
        <v>10.00001</v>
      </c>
      <c r="E17" s="18">
        <f t="shared" si="0"/>
        <v>0.20947012649916816</v>
      </c>
      <c r="F17" s="6">
        <f t="shared" si="2"/>
        <v>0.2197068780404757</v>
      </c>
      <c r="G17" s="25">
        <f t="shared" si="1"/>
        <v>0.83023397945128896</v>
      </c>
      <c r="H17" s="18">
        <f t="shared" si="3"/>
        <v>0.2084869254458625</v>
      </c>
      <c r="I17" s="26">
        <f t="shared" si="4"/>
        <v>0.85170905175775791</v>
      </c>
      <c r="J17" s="18">
        <f t="shared" si="5"/>
        <v>0.21390002258049431</v>
      </c>
      <c r="L17">
        <v>12</v>
      </c>
      <c r="M17" s="20">
        <f>BlackCallPrice($B$4,0,0,E21,$B$9,L17)</f>
        <v>0.25185536216474863</v>
      </c>
      <c r="N17" s="20">
        <f>BlackCallPrice($B$4,0,0,F21,$B$9,L17)</f>
        <v>0.27341736108713455</v>
      </c>
      <c r="O17" s="20">
        <f>BlackCallPrice($B$4,0,0,J21,$B$9,L17)</f>
        <v>0.2279209001275031</v>
      </c>
      <c r="P17" s="20">
        <f>BlackCallPrice($B$4,0,0,H21,$B$9,L17)</f>
        <v>0.18664222699101729</v>
      </c>
    </row>
    <row r="18" spans="4:16" x14ac:dyDescent="0.35">
      <c r="D18" s="2">
        <v>10.5</v>
      </c>
      <c r="E18" s="18">
        <f t="shared" si="0"/>
        <v>0.20768268594439951</v>
      </c>
      <c r="F18" s="6">
        <f t="shared" si="2"/>
        <v>0.2197068780404757</v>
      </c>
      <c r="G18" s="25">
        <f t="shared" ref="G18:G33" si="6">BachelierCallPrice($B$4,$G$2,$B$9,D18)</f>
        <v>0.60408659435726675</v>
      </c>
      <c r="H18" s="18">
        <f t="shared" si="3"/>
        <v>0.20342467115819959</v>
      </c>
      <c r="I18" s="26">
        <f t="shared" si="4"/>
        <v>0.63528496624721853</v>
      </c>
      <c r="J18" s="18">
        <f t="shared" si="5"/>
        <v>0.21131303592689948</v>
      </c>
      <c r="L18">
        <v>13</v>
      </c>
      <c r="M18" s="20">
        <f>BlackCallPrice($B$4,0,0,E23,$B$9,L18)</f>
        <v>0.14437175896432894</v>
      </c>
      <c r="N18" s="20">
        <f>BlackCallPrice($B$4,0,0,F23,$B$9,L18)</f>
        <v>0.14165598428786871</v>
      </c>
      <c r="O18" s="20">
        <f>BlackCallPrice($B$4,0,0,J23,$B$9,L18)</f>
        <v>0.10227593035391494</v>
      </c>
      <c r="P18" s="20">
        <f>BlackCallPrice($B$4,0,0,H23,$B$9,L18)</f>
        <v>6.9591656932870602E-2</v>
      </c>
    </row>
    <row r="19" spans="4:16" x14ac:dyDescent="0.35">
      <c r="D19" s="2">
        <v>11</v>
      </c>
      <c r="E19" s="18">
        <f t="shared" si="0"/>
        <v>0.2078545487189643</v>
      </c>
      <c r="F19" s="6">
        <f t="shared" si="2"/>
        <v>0.2197068780404757</v>
      </c>
      <c r="G19" s="25">
        <f t="shared" si="6"/>
        <v>0.42428532463677049</v>
      </c>
      <c r="H19" s="18">
        <f t="shared" si="3"/>
        <v>0.19867631374863537</v>
      </c>
      <c r="I19" s="26">
        <f t="shared" si="4"/>
        <v>0.46245030813666377</v>
      </c>
      <c r="J19" s="18">
        <f t="shared" si="5"/>
        <v>0.20890543591763533</v>
      </c>
      <c r="L19" t="s">
        <v>29</v>
      </c>
      <c r="M19" s="1">
        <f>(M17-M18)/($L18-$L17)</f>
        <v>0.10748360320041969</v>
      </c>
      <c r="N19" s="1">
        <f>(N17-N18)/($L18-$L17)</f>
        <v>0.13176137679926583</v>
      </c>
      <c r="O19" s="1">
        <f>(O17-O18)/($L18-$L17)</f>
        <v>0.12564496977358816</v>
      </c>
      <c r="P19" s="1">
        <f>(P17-P18)/($L18-$L17)</f>
        <v>0.11705057005814669</v>
      </c>
    </row>
    <row r="20" spans="4:16" x14ac:dyDescent="0.35">
      <c r="D20" s="2">
        <v>11.5</v>
      </c>
      <c r="E20" s="18">
        <f t="shared" si="0"/>
        <v>0.2096304212340491</v>
      </c>
      <c r="F20" s="6">
        <f t="shared" si="2"/>
        <v>0.2197068780404757</v>
      </c>
      <c r="G20" s="25">
        <f t="shared" si="6"/>
        <v>0.28702585671962744</v>
      </c>
      <c r="H20" s="18">
        <f t="shared" si="3"/>
        <v>0.19421050045957894</v>
      </c>
      <c r="I20" s="26">
        <f t="shared" si="4"/>
        <v>0.32856845930616108</v>
      </c>
      <c r="J20" s="18">
        <f t="shared" si="5"/>
        <v>0.20665805237847518</v>
      </c>
    </row>
    <row r="21" spans="4:16" x14ac:dyDescent="0.35">
      <c r="D21" s="2">
        <v>12</v>
      </c>
      <c r="E21" s="18">
        <f t="shared" si="0"/>
        <v>0.21262363194247544</v>
      </c>
      <c r="F21" s="6">
        <f t="shared" si="2"/>
        <v>0.2197068780404757</v>
      </c>
      <c r="G21" s="25">
        <f t="shared" si="6"/>
        <v>0.18664222699101737</v>
      </c>
      <c r="H21" s="18">
        <f t="shared" si="3"/>
        <v>0.19000006814785347</v>
      </c>
      <c r="I21" s="26">
        <f t="shared" si="4"/>
        <v>0.22792090012750266</v>
      </c>
      <c r="J21" s="18">
        <f t="shared" si="5"/>
        <v>0.20455439625405764</v>
      </c>
    </row>
    <row r="22" spans="4:16" x14ac:dyDescent="0.35">
      <c r="D22" s="2">
        <v>12.5</v>
      </c>
      <c r="E22" s="18">
        <f t="shared" si="0"/>
        <v>0.21648375821158353</v>
      </c>
      <c r="F22" s="6">
        <f t="shared" si="2"/>
        <v>0.2197068780404757</v>
      </c>
      <c r="G22" s="25">
        <f t="shared" si="6"/>
        <v>0.11644685544461375</v>
      </c>
      <c r="H22" s="18">
        <f t="shared" si="3"/>
        <v>0.18602141556431251</v>
      </c>
      <c r="I22" s="26">
        <f t="shared" si="4"/>
        <v>0.15443504909273686</v>
      </c>
      <c r="J22" s="18">
        <f t="shared" si="5"/>
        <v>0.20258023432821318</v>
      </c>
    </row>
    <row r="23" spans="4:16" x14ac:dyDescent="0.35">
      <c r="D23" s="2">
        <v>13</v>
      </c>
      <c r="E23" s="18">
        <f t="shared" si="0"/>
        <v>0.22092752162097626</v>
      </c>
      <c r="F23" s="6">
        <f t="shared" si="2"/>
        <v>0.2197068780404757</v>
      </c>
      <c r="G23" s="25">
        <f t="shared" si="6"/>
        <v>6.9591656932870657E-2</v>
      </c>
      <c r="H23" s="18">
        <f t="shared" si="3"/>
        <v>0.18225391913865965</v>
      </c>
      <c r="I23" s="26">
        <f t="shared" si="4"/>
        <v>0.10227593035391537</v>
      </c>
      <c r="J23" s="18">
        <f t="shared" si="5"/>
        <v>0.20072320888920989</v>
      </c>
    </row>
    <row r="24" spans="4:16" x14ac:dyDescent="0.35">
      <c r="D24" s="2">
        <v>13.5</v>
      </c>
      <c r="E24" s="15">
        <f t="shared" si="0"/>
        <v>0.22574150421556272</v>
      </c>
      <c r="F24" s="6">
        <f t="shared" si="2"/>
        <v>0.2197068780404757</v>
      </c>
      <c r="G24" s="14">
        <f t="shared" si="6"/>
        <v>3.9779205430541996E-2</v>
      </c>
      <c r="H24" s="15">
        <f t="shared" si="3"/>
        <v>0.1786794625540252</v>
      </c>
      <c r="I24">
        <f t="shared" si="4"/>
        <v>6.6247784066225779E-2</v>
      </c>
      <c r="J24" s="15">
        <f t="shared" si="5"/>
        <v>0.19897253286969058</v>
      </c>
    </row>
    <row r="25" spans="4:16" x14ac:dyDescent="0.35">
      <c r="D25" s="2">
        <v>14</v>
      </c>
      <c r="E25" s="15">
        <f t="shared" si="0"/>
        <v>0.23077158021851796</v>
      </c>
      <c r="F25" s="6">
        <f t="shared" si="2"/>
        <v>0.2197068780404757</v>
      </c>
      <c r="G25" s="14">
        <f t="shared" si="6"/>
        <v>2.1719631309727795E-2</v>
      </c>
      <c r="H25" s="15">
        <f t="shared" si="3"/>
        <v>0.17528205467913532</v>
      </c>
      <c r="I25">
        <f t="shared" si="4"/>
        <v>4.2002389490973846E-2</v>
      </c>
      <c r="J25" s="15">
        <f t="shared" si="5"/>
        <v>0.19731874336990379</v>
      </c>
    </row>
    <row r="26" spans="4:16" x14ac:dyDescent="0.35">
      <c r="D26" s="2">
        <v>14.5</v>
      </c>
      <c r="E26" s="15">
        <f t="shared" si="0"/>
        <v>0.23590921142176072</v>
      </c>
      <c r="F26" s="6">
        <f t="shared" si="2"/>
        <v>0.2197068780404757</v>
      </c>
      <c r="G26" s="14">
        <f t="shared" si="6"/>
        <v>1.1314567129744709E-2</v>
      </c>
      <c r="H26" s="15">
        <f t="shared" si="3"/>
        <v>0.17204751679276048</v>
      </c>
      <c r="I26">
        <f t="shared" si="4"/>
        <v>2.6087682506746483E-2</v>
      </c>
      <c r="J26" s="15">
        <f t="shared" si="5"/>
        <v>0.19575350079256398</v>
      </c>
    </row>
    <row r="27" spans="4:16" x14ac:dyDescent="0.35">
      <c r="D27" s="2">
        <v>15</v>
      </c>
      <c r="E27" s="15">
        <f t="shared" si="0"/>
        <v>0.24107916361332024</v>
      </c>
      <c r="F27" s="6">
        <f t="shared" si="2"/>
        <v>0.2197068780404757</v>
      </c>
      <c r="G27" s="14">
        <f t="shared" si="6"/>
        <v>5.6177427747532401E-3</v>
      </c>
      <c r="H27" s="15">
        <f t="shared" si="3"/>
        <v>0.16896322464816729</v>
      </c>
      <c r="I27">
        <f t="shared" si="4"/>
        <v>1.5886256271420603E-2</v>
      </c>
      <c r="J27" s="15">
        <f t="shared" si="5"/>
        <v>0.19426942393893568</v>
      </c>
    </row>
    <row r="28" spans="4:16" x14ac:dyDescent="0.35">
      <c r="D28" s="2">
        <v>15.5</v>
      </c>
      <c r="E28" s="15">
        <f t="shared" si="0"/>
        <v>0.2462299090885928</v>
      </c>
      <c r="F28" s="6">
        <f t="shared" si="2"/>
        <v>0.2197068780404757</v>
      </c>
      <c r="G28" s="14">
        <f t="shared" si="6"/>
        <v>2.655979984809014E-3</v>
      </c>
      <c r="H28" s="15">
        <f t="shared" si="3"/>
        <v>0.16601789430888578</v>
      </c>
      <c r="I28">
        <f t="shared" si="4"/>
        <v>9.4929881051576716E-3</v>
      </c>
      <c r="J28" s="15">
        <f t="shared" si="5"/>
        <v>0.19285995369894737</v>
      </c>
    </row>
    <row r="29" spans="4:16" x14ac:dyDescent="0.35">
      <c r="D29" s="2">
        <v>16</v>
      </c>
      <c r="E29" s="15">
        <f t="shared" si="0"/>
        <v>0.25132659159726095</v>
      </c>
      <c r="F29" s="6">
        <f t="shared" si="2"/>
        <v>0.2197068780404757</v>
      </c>
      <c r="G29" s="14">
        <f t="shared" si="6"/>
        <v>1.1947388036089458E-3</v>
      </c>
      <c r="H29" s="15">
        <f t="shared" si="3"/>
        <v>0.16320140319725449</v>
      </c>
      <c r="I29">
        <f t="shared" si="4"/>
        <v>5.571220159155366E-3</v>
      </c>
      <c r="J29" s="15">
        <f t="shared" si="5"/>
        <v>0.19151923965721948</v>
      </c>
    </row>
    <row r="30" spans="4:16" x14ac:dyDescent="0.35">
      <c r="D30" s="2">
        <v>16.5</v>
      </c>
      <c r="E30" s="15">
        <f t="shared" si="0"/>
        <v>0.25634602551030855</v>
      </c>
      <c r="F30" s="6">
        <f t="shared" si="2"/>
        <v>0.2197068780404757</v>
      </c>
      <c r="G30" s="14">
        <f t="shared" si="6"/>
        <v>5.1096686843884499E-4</v>
      </c>
      <c r="H30" s="15">
        <f t="shared" si="3"/>
        <v>0.16050463967914552</v>
      </c>
      <c r="I30">
        <f t="shared" si="4"/>
        <v>3.2138860060366829E-3</v>
      </c>
      <c r="J30" s="15">
        <f t="shared" si="5"/>
        <v>0.19024204519982435</v>
      </c>
    </row>
    <row r="31" spans="4:16" x14ac:dyDescent="0.35">
      <c r="D31" s="2">
        <v>17</v>
      </c>
      <c r="E31" s="15">
        <f t="shared" si="0"/>
        <v>0.26127318900862523</v>
      </c>
      <c r="F31" s="6">
        <f t="shared" si="2"/>
        <v>0.2197068780404757</v>
      </c>
      <c r="G31" s="14">
        <f t="shared" si="6"/>
        <v>2.0763752349290648E-4</v>
      </c>
      <c r="H31" s="15">
        <f t="shared" si="3"/>
        <v>0.15791937593312169</v>
      </c>
      <c r="I31">
        <f t="shared" si="4"/>
        <v>1.8239093195524048E-3</v>
      </c>
      <c r="J31" s="15">
        <f t="shared" si="5"/>
        <v>0.18902366766005524</v>
      </c>
    </row>
    <row r="32" spans="4:16" x14ac:dyDescent="0.35">
      <c r="D32" s="2">
        <v>17.5</v>
      </c>
      <c r="E32" s="15">
        <f t="shared" si="0"/>
        <v>0.26609877542069577</v>
      </c>
      <c r="F32" s="6">
        <f t="shared" si="2"/>
        <v>0.2197068780404757</v>
      </c>
      <c r="G32" s="14">
        <f t="shared" si="6"/>
        <v>8.0124441953519416E-5</v>
      </c>
      <c r="H32" s="15">
        <f t="shared" si="3"/>
        <v>0.15543815994098389</v>
      </c>
      <c r="I32">
        <f t="shared" si="4"/>
        <v>1.0191062351711665E-3</v>
      </c>
      <c r="J32" s="15">
        <f t="shared" si="5"/>
        <v>0.18785987076800834</v>
      </c>
    </row>
    <row r="33" spans="4:10" x14ac:dyDescent="0.35">
      <c r="D33" s="2">
        <v>18</v>
      </c>
      <c r="E33" s="15">
        <f t="shared" si="0"/>
        <v>0.27081748195427291</v>
      </c>
      <c r="F33" s="6">
        <f t="shared" si="2"/>
        <v>0.2197068780404757</v>
      </c>
      <c r="G33" s="14">
        <f t="shared" si="6"/>
        <v>2.9346088211975735E-5</v>
      </c>
      <c r="H33" s="15">
        <f t="shared" si="3"/>
        <v>0.15305422327568752</v>
      </c>
      <c r="I33">
        <f t="shared" si="4"/>
        <v>5.6107297914453555E-4</v>
      </c>
      <c r="J33" s="15">
        <f t="shared" si="5"/>
        <v>0.18674682722712008</v>
      </c>
    </row>
  </sheetData>
  <pageMargins left="0.7" right="0.7" top="0.75" bottom="0.75" header="0.3" footer="0.3"/>
  <ignoredErrors>
    <ignoredError sqref="O11:O12" formula="1"/>
  </ignoredError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3"/>
  <sheetViews>
    <sheetView workbookViewId="0">
      <selection activeCell="K14" sqref="K14"/>
    </sheetView>
  </sheetViews>
  <sheetFormatPr defaultRowHeight="14.5" x14ac:dyDescent="0.35"/>
  <cols>
    <col min="5" max="5" width="10.1796875" bestFit="1" customWidth="1"/>
    <col min="6" max="6" width="9.36328125" customWidth="1"/>
    <col min="7" max="7" width="11.81640625" bestFit="1" customWidth="1"/>
    <col min="8" max="8" width="10.7265625" customWidth="1"/>
    <col min="12" max="12" width="9.7265625" bestFit="1" customWidth="1"/>
    <col min="13" max="13" width="12" hidden="1" customWidth="1"/>
    <col min="14" max="14" width="11.54296875" customWidth="1"/>
    <col min="15" max="15" width="9.36328125" bestFit="1" customWidth="1"/>
  </cols>
  <sheetData>
    <row r="1" spans="1:16" x14ac:dyDescent="0.35">
      <c r="H1" t="s">
        <v>25</v>
      </c>
      <c r="I1" s="19">
        <v>10</v>
      </c>
      <c r="K1" t="s">
        <v>1</v>
      </c>
      <c r="L1">
        <v>0.1</v>
      </c>
    </row>
    <row r="2" spans="1:16" x14ac:dyDescent="0.35">
      <c r="F2" t="s">
        <v>23</v>
      </c>
      <c r="G2" s="13">
        <f>BachelierImpliedVol($B$4,$D$17,$B$9,$B$11,$B$4*$E$17)</f>
        <v>2.0908789891531314</v>
      </c>
      <c r="I2" s="19">
        <f>SLNImpliedVol($B$4,$B$4,$I$1,$B$9,$B$11,$E$17)</f>
        <v>0.10459097613360263</v>
      </c>
    </row>
    <row r="4" spans="1:16" x14ac:dyDescent="0.35">
      <c r="A4" t="s">
        <v>4</v>
      </c>
      <c r="B4">
        <v>10</v>
      </c>
      <c r="D4" t="s">
        <v>0</v>
      </c>
      <c r="E4" s="11" t="s">
        <v>38</v>
      </c>
      <c r="F4" t="s">
        <v>18</v>
      </c>
      <c r="G4" s="12" t="s">
        <v>21</v>
      </c>
      <c r="H4" s="12" t="s">
        <v>22</v>
      </c>
      <c r="I4" s="19" t="s">
        <v>24</v>
      </c>
      <c r="J4" s="19" t="s">
        <v>19</v>
      </c>
      <c r="L4" s="11" t="s">
        <v>0</v>
      </c>
      <c r="M4" t="s">
        <v>26</v>
      </c>
      <c r="N4" t="s">
        <v>27</v>
      </c>
      <c r="O4" t="s">
        <v>24</v>
      </c>
      <c r="P4" t="s">
        <v>28</v>
      </c>
    </row>
    <row r="5" spans="1:16" x14ac:dyDescent="0.35">
      <c r="A5" t="s">
        <v>13</v>
      </c>
      <c r="B5">
        <v>0.32</v>
      </c>
      <c r="D5" s="2">
        <v>4</v>
      </c>
      <c r="E5" s="15">
        <f t="shared" ref="E5:E33" si="0">sabr($B$4,D5,$B$9,$B$5,$B$6,$B$7,$B$8)</f>
        <v>0.38569627634274417</v>
      </c>
      <c r="F5" s="6">
        <f t="shared" ref="F5:F16" si="1">$E$17</f>
        <v>0.20947012649916816</v>
      </c>
      <c r="G5" s="14">
        <f t="shared" ref="G5:G17" si="2">BachelierCallPrice($B$4,$G$2,$B$9,D5)</f>
        <v>6.0012570659726174</v>
      </c>
      <c r="H5" s="15">
        <f>BlackImpliedVol($B$4,D5,$B$9,G5,E5,TRUE)</f>
        <v>0.32066804878296051</v>
      </c>
      <c r="I5">
        <f>SLNCallPrice($B$4,$I$1,$I$2,$B$9,D5)</f>
        <v>6.0001455927976322</v>
      </c>
      <c r="J5" s="15">
        <f>BlackImpliedVol($B$4,D5,$B$9,I5,E5,TRUE)</f>
        <v>0.26937646806604565</v>
      </c>
      <c r="L5" s="11">
        <v>8</v>
      </c>
      <c r="M5" s="20">
        <f>BlackCallPrice($B$4,0,0,E13,$B$9,L5)</f>
        <v>2.1998941728426882</v>
      </c>
      <c r="N5" s="1">
        <f>BlackCallPrice($B$4,0,0,F13,$B$9,L5)</f>
        <v>2.1371495695196683</v>
      </c>
      <c r="O5" s="1">
        <f>BlackCallPrice($B$4,0,0,J13,$B$9,L5)</f>
        <v>2.1628920667171094</v>
      </c>
      <c r="P5" s="1">
        <f>BlackCallPrice($B$4,0,0,H13,$B$9,L5)</f>
        <v>2.1891058117634379</v>
      </c>
    </row>
    <row r="6" spans="1:16" x14ac:dyDescent="0.35">
      <c r="A6" t="s">
        <v>9</v>
      </c>
      <c r="B6">
        <v>0.8</v>
      </c>
      <c r="D6" s="2">
        <v>4.5</v>
      </c>
      <c r="E6" s="15">
        <f t="shared" si="0"/>
        <v>0.36017015978262834</v>
      </c>
      <c r="F6" s="6">
        <f t="shared" si="1"/>
        <v>0.20947012649916816</v>
      </c>
      <c r="G6" s="14">
        <f t="shared" si="2"/>
        <v>5.5027766544611749</v>
      </c>
      <c r="H6" s="15">
        <f t="shared" ref="H6:H33" si="3">BlackImpliedVol($B$4,D6,$B$9,G6,E6,TRUE)</f>
        <v>0.30472933487598453</v>
      </c>
      <c r="I6">
        <f t="shared" ref="I6:I33" si="4">SLNCallPrice($B$4,$I$1,$I$2,$B$9,D6)</f>
        <v>5.5005209373261916</v>
      </c>
      <c r="J6" s="15">
        <f t="shared" ref="J6:J33" si="5">BlackImpliedVol($B$4,D6,$B$9,I6,E6,TRUE)</f>
        <v>0.26031552239921951</v>
      </c>
      <c r="L6" s="11">
        <v>9</v>
      </c>
      <c r="M6" s="20">
        <f>BlackCallPrice($B$4,0,0,E15,$B$9,L6)</f>
        <v>1.4242853246367706</v>
      </c>
      <c r="N6" s="1">
        <f>BlackCallPrice($B$4,0,0,F15,$B$9,L6)</f>
        <v>1.3901410475110245</v>
      </c>
      <c r="O6" s="1">
        <f>BlackCallPrice($B$4,0,0,J15,$B$9,L6)</f>
        <v>1.4090551637488167</v>
      </c>
      <c r="P6" s="1">
        <f>BlackCallPrice($B$4,0,0,H15,$B$9,L6)</f>
        <v>1.4277629129197213</v>
      </c>
    </row>
    <row r="7" spans="1:16" x14ac:dyDescent="0.35">
      <c r="A7" t="s">
        <v>14</v>
      </c>
      <c r="B7">
        <v>-0.1</v>
      </c>
      <c r="D7" s="2">
        <v>5</v>
      </c>
      <c r="E7" s="15">
        <f t="shared" si="0"/>
        <v>0.33722130033071812</v>
      </c>
      <c r="F7" s="6">
        <f t="shared" si="1"/>
        <v>0.20947012649916816</v>
      </c>
      <c r="G7" s="14">
        <f t="shared" si="2"/>
        <v>5.0058383417675936</v>
      </c>
      <c r="H7" s="15">
        <f t="shared" si="3"/>
        <v>0.29087552186954035</v>
      </c>
      <c r="I7">
        <f t="shared" si="4"/>
        <v>5.0016241645994617</v>
      </c>
      <c r="J7" s="15">
        <f t="shared" si="5"/>
        <v>0.25255589767971931</v>
      </c>
    </row>
    <row r="8" spans="1:16" x14ac:dyDescent="0.35">
      <c r="A8" t="s">
        <v>15</v>
      </c>
      <c r="B8">
        <v>0.7</v>
      </c>
      <c r="D8" s="2">
        <v>5.5</v>
      </c>
      <c r="E8" s="15">
        <f t="shared" si="0"/>
        <v>0.31643547396762689</v>
      </c>
      <c r="F8" s="6">
        <f t="shared" si="1"/>
        <v>0.20947012649916816</v>
      </c>
      <c r="G8" s="14">
        <f t="shared" si="2"/>
        <v>4.5116953184143638</v>
      </c>
      <c r="H8" s="15">
        <f t="shared" si="3"/>
        <v>0.27867532115477645</v>
      </c>
      <c r="I8">
        <f t="shared" si="4"/>
        <v>4.5044730091004546</v>
      </c>
      <c r="J8" s="15">
        <f t="shared" si="5"/>
        <v>0.24581686655544749</v>
      </c>
      <c r="L8" t="s">
        <v>33</v>
      </c>
      <c r="M8" s="1">
        <f>(M5-M6)/($L6-$L5)</f>
        <v>0.77560884820591758</v>
      </c>
      <c r="N8" s="1">
        <f>(N5-N6)/($L6-$L5)</f>
        <v>0.74700852200864376</v>
      </c>
      <c r="O8" s="1">
        <f>(O5-O6)/($L6-$L5)</f>
        <v>0.75383690296829275</v>
      </c>
      <c r="P8" s="1">
        <f>(P5-P6)/($L6-$L5)</f>
        <v>0.76134289884371653</v>
      </c>
    </row>
    <row r="9" spans="1:16" x14ac:dyDescent="0.35">
      <c r="A9" t="s">
        <v>16</v>
      </c>
      <c r="B9">
        <v>1</v>
      </c>
      <c r="D9" s="2">
        <v>6</v>
      </c>
      <c r="E9" s="15">
        <f t="shared" si="0"/>
        <v>0.29753463696645704</v>
      </c>
      <c r="F9" s="6">
        <f t="shared" si="1"/>
        <v>0.20947012649916816</v>
      </c>
      <c r="G9" s="14">
        <f t="shared" si="2"/>
        <v>4.0223401125845344</v>
      </c>
      <c r="H9" s="15">
        <f t="shared" si="3"/>
        <v>0.26781514529016209</v>
      </c>
      <c r="I9">
        <f t="shared" si="4"/>
        <v>4.0110158157999143</v>
      </c>
      <c r="J9" s="15">
        <f t="shared" si="5"/>
        <v>0.23989592396036824</v>
      </c>
    </row>
    <row r="10" spans="1:16" x14ac:dyDescent="0.35">
      <c r="D10" s="2">
        <v>6.5</v>
      </c>
      <c r="E10" s="15">
        <f t="shared" si="0"/>
        <v>0.28034476083158938</v>
      </c>
      <c r="F10" s="6">
        <f t="shared" si="1"/>
        <v>0.20947012649916816</v>
      </c>
      <c r="G10" s="14">
        <f t="shared" si="2"/>
        <v>3.5407339015663917</v>
      </c>
      <c r="H10" s="15">
        <f t="shared" si="3"/>
        <v>0.25806030982395151</v>
      </c>
      <c r="I10">
        <f t="shared" si="4"/>
        <v>3.5245292893108626</v>
      </c>
      <c r="J10" s="15">
        <f t="shared" si="5"/>
        <v>0.23464270727087316</v>
      </c>
      <c r="L10" s="11" t="s">
        <v>0</v>
      </c>
      <c r="M10" t="s">
        <v>26</v>
      </c>
      <c r="N10" t="s">
        <v>34</v>
      </c>
      <c r="O10" t="s">
        <v>19</v>
      </c>
      <c r="P10" t="s">
        <v>35</v>
      </c>
    </row>
    <row r="11" spans="1:16" x14ac:dyDescent="0.35">
      <c r="A11" t="s">
        <v>20</v>
      </c>
      <c r="B11">
        <f>BlackCallPrice(B4,0,0,E17,B9,D17)</f>
        <v>0.83413503198573302</v>
      </c>
      <c r="D11" s="2">
        <v>7</v>
      </c>
      <c r="E11" s="15">
        <f t="shared" si="0"/>
        <v>0.26477928954297142</v>
      </c>
      <c r="F11" s="6">
        <f t="shared" si="1"/>
        <v>0.20947012649916816</v>
      </c>
      <c r="G11" s="14">
        <f t="shared" si="2"/>
        <v>3.0709785743312437</v>
      </c>
      <c r="H11" s="15">
        <f t="shared" si="3"/>
        <v>0.24923092147364634</v>
      </c>
      <c r="I11">
        <f t="shared" si="4"/>
        <v>3.0498842142215477</v>
      </c>
      <c r="J11" s="15">
        <f t="shared" si="5"/>
        <v>0.22994285558979854</v>
      </c>
      <c r="L11" s="11">
        <v>8</v>
      </c>
      <c r="M11" s="20">
        <f>BlackCallPrice($B$4,0,0,E19,$B$9,L11)</f>
        <v>2.133913009239671</v>
      </c>
      <c r="N11" s="15">
        <f>F13</f>
        <v>0.20947012649916816</v>
      </c>
      <c r="O11" s="15">
        <f>J13</f>
        <v>0.22186685441471352</v>
      </c>
      <c r="P11" s="15">
        <f>H13</f>
        <v>0.23381437298626156</v>
      </c>
    </row>
    <row r="12" spans="1:16" x14ac:dyDescent="0.35">
      <c r="D12" s="2">
        <v>7.5</v>
      </c>
      <c r="E12" s="15">
        <f t="shared" si="0"/>
        <v>0.25083172396593506</v>
      </c>
      <c r="F12" s="6">
        <f t="shared" si="1"/>
        <v>0.20947012649916816</v>
      </c>
      <c r="G12" s="14">
        <f t="shared" si="2"/>
        <v>2.618349180681466</v>
      </c>
      <c r="H12" s="15">
        <f t="shared" si="3"/>
        <v>0.24118626992273837</v>
      </c>
      <c r="I12">
        <f t="shared" si="4"/>
        <v>2.5935025112889374</v>
      </c>
      <c r="J12" s="15">
        <f t="shared" si="5"/>
        <v>0.2257076058801292</v>
      </c>
      <c r="L12" s="11">
        <v>9</v>
      </c>
      <c r="M12" s="20">
        <f>BlackCallPrice($B$4,0,0,E21,$B$9,L12)</f>
        <v>1.4006192017051247</v>
      </c>
      <c r="N12" s="15">
        <f>F15</f>
        <v>0.20947012649916816</v>
      </c>
      <c r="O12" s="15">
        <f>J15</f>
        <v>0.21515455613027287</v>
      </c>
      <c r="P12" s="15">
        <f>H15</f>
        <v>0.22074340891830935</v>
      </c>
    </row>
    <row r="13" spans="1:16" x14ac:dyDescent="0.35">
      <c r="D13" s="2">
        <v>8</v>
      </c>
      <c r="E13" s="17">
        <f t="shared" si="0"/>
        <v>0.23857165273717357</v>
      </c>
      <c r="F13" s="16">
        <f t="shared" si="1"/>
        <v>0.20947012649916816</v>
      </c>
      <c r="G13" s="14">
        <f t="shared" si="2"/>
        <v>2.1891058117634379</v>
      </c>
      <c r="H13" s="17">
        <f t="shared" si="3"/>
        <v>0.23381437298626156</v>
      </c>
      <c r="I13">
        <f t="shared" si="4"/>
        <v>2.1628920667171094</v>
      </c>
      <c r="J13" s="17">
        <f t="shared" si="5"/>
        <v>0.22186685441471352</v>
      </c>
    </row>
    <row r="14" spans="1:16" x14ac:dyDescent="0.35">
      <c r="D14" s="2">
        <v>8.5</v>
      </c>
      <c r="E14" s="15">
        <f t="shared" si="0"/>
        <v>0.22813641931774767</v>
      </c>
      <c r="F14" s="6">
        <f t="shared" si="1"/>
        <v>0.20947012649916816</v>
      </c>
      <c r="G14" s="14">
        <f t="shared" si="2"/>
        <v>1.790038159892696</v>
      </c>
      <c r="H14" s="15">
        <f t="shared" si="3"/>
        <v>0.22702476700050125</v>
      </c>
      <c r="I14">
        <f t="shared" si="4"/>
        <v>1.7657844607667255</v>
      </c>
      <c r="J14" s="15">
        <f t="shared" si="5"/>
        <v>0.21836439309875666</v>
      </c>
      <c r="O14" s="15"/>
    </row>
    <row r="15" spans="1:16" x14ac:dyDescent="0.35">
      <c r="D15" s="2">
        <v>9</v>
      </c>
      <c r="E15" s="17">
        <f t="shared" si="0"/>
        <v>0.2197068780404757</v>
      </c>
      <c r="F15" s="16">
        <f t="shared" si="1"/>
        <v>0.20947012649916816</v>
      </c>
      <c r="G15" s="14">
        <f t="shared" si="2"/>
        <v>1.4277629129197213</v>
      </c>
      <c r="H15" s="17">
        <f t="shared" si="3"/>
        <v>0.22074340891830935</v>
      </c>
      <c r="I15">
        <f t="shared" si="4"/>
        <v>1.4090551637488176</v>
      </c>
      <c r="J15" s="17">
        <f t="shared" si="5"/>
        <v>0.21515455613027287</v>
      </c>
    </row>
    <row r="16" spans="1:16" x14ac:dyDescent="0.35">
      <c r="D16" s="2">
        <v>9.5</v>
      </c>
      <c r="E16" s="15">
        <f t="shared" si="0"/>
        <v>0.21345564468745806</v>
      </c>
      <c r="F16" s="6">
        <f t="shared" si="1"/>
        <v>0.20947012649916816</v>
      </c>
      <c r="G16" s="14">
        <f t="shared" si="2"/>
        <v>1.1078771762719537</v>
      </c>
      <c r="H16" s="15">
        <f t="shared" si="3"/>
        <v>0.21490899201603597</v>
      </c>
      <c r="I16">
        <f t="shared" si="4"/>
        <v>1.097700479675813</v>
      </c>
      <c r="J16" s="15">
        <f t="shared" si="5"/>
        <v>0.21219980744441377</v>
      </c>
    </row>
    <row r="17" spans="4:16" x14ac:dyDescent="0.35">
      <c r="D17" s="2">
        <v>10.00001</v>
      </c>
      <c r="E17" s="17">
        <f t="shared" si="0"/>
        <v>0.20947012649916816</v>
      </c>
      <c r="F17" s="16">
        <f>$E$17</f>
        <v>0.20947012649916816</v>
      </c>
      <c r="G17" s="14">
        <f t="shared" si="2"/>
        <v>0.83413503198573302</v>
      </c>
      <c r="H17" s="17">
        <f t="shared" si="3"/>
        <v>0.20947012649916816</v>
      </c>
      <c r="I17">
        <f t="shared" si="4"/>
        <v>0.83413024052901674</v>
      </c>
      <c r="J17" s="17">
        <f t="shared" si="5"/>
        <v>0.20946891885425964</v>
      </c>
      <c r="L17">
        <v>12</v>
      </c>
      <c r="M17" s="20">
        <f>BlackCallPrice($B$4,0,0,E21,$B$9,L17)</f>
        <v>0.25185536216474863</v>
      </c>
      <c r="N17" s="20">
        <f>BlackCallPrice($B$4,0,0,F21,$B$9,L17)</f>
        <v>0.24241886880972296</v>
      </c>
      <c r="O17" s="20">
        <f>BlackCallPrice($B$4,0,0,J21,$B$9,L17)</f>
        <v>0.21564379987078097</v>
      </c>
      <c r="P17" s="20">
        <f>BlackCallPrice($B$4,0,0,H21,$B$9,L17)</f>
        <v>0.18910581176343866</v>
      </c>
    </row>
    <row r="18" spans="4:16" x14ac:dyDescent="0.35">
      <c r="D18" s="2">
        <v>10.5</v>
      </c>
      <c r="E18" s="15">
        <f t="shared" si="0"/>
        <v>0.20768268594439951</v>
      </c>
      <c r="F18" s="6">
        <f t="shared" ref="F18:F33" si="6">$E$17</f>
        <v>0.20947012649916816</v>
      </c>
      <c r="G18" s="14">
        <f t="shared" ref="G18:G33" si="7">BachelierCallPrice($B$4,$G$2,$B$9,D18)</f>
        <v>0.60787717627195359</v>
      </c>
      <c r="H18" s="15">
        <f t="shared" si="3"/>
        <v>0.20438383113201689</v>
      </c>
      <c r="I18">
        <f t="shared" si="4"/>
        <v>0.6179669482548209</v>
      </c>
      <c r="J18" s="15">
        <f t="shared" si="5"/>
        <v>0.20693591305095116</v>
      </c>
      <c r="L18">
        <v>13</v>
      </c>
      <c r="M18" s="20">
        <f>BlackCallPrice($B$4,0,0,E23,$B$9,L18)</f>
        <v>0.14437175896432894</v>
      </c>
      <c r="N18" s="20">
        <f>BlackCallPrice($B$4,0,0,F23,$B$9,L18)</f>
        <v>0.1197356144607946</v>
      </c>
      <c r="O18" s="20">
        <f>BlackCallPrice($B$4,0,0,J23,$B$9,L18)</f>
        <v>9.4412180642168331E-2</v>
      </c>
      <c r="P18" s="20">
        <f>BlackCallPrice($B$4,0,0,H23,$B$9,L18)</f>
        <v>7.0978574331243383E-2</v>
      </c>
    </row>
    <row r="19" spans="4:16" x14ac:dyDescent="0.35">
      <c r="D19" s="2">
        <v>11</v>
      </c>
      <c r="E19" s="15">
        <f t="shared" si="0"/>
        <v>0.2078545487189643</v>
      </c>
      <c r="F19" s="6">
        <f t="shared" si="6"/>
        <v>0.20947012649916816</v>
      </c>
      <c r="G19" s="14">
        <f t="shared" si="7"/>
        <v>0.42776291291972135</v>
      </c>
      <c r="H19" s="15">
        <f t="shared" si="3"/>
        <v>0.19961293455435075</v>
      </c>
      <c r="I19">
        <f t="shared" si="4"/>
        <v>0.44625804886798648</v>
      </c>
      <c r="J19" s="15">
        <f t="shared" si="5"/>
        <v>0.20457853846625695</v>
      </c>
      <c r="L19" t="s">
        <v>29</v>
      </c>
      <c r="M19" s="1">
        <f>(M17-M18)/($L18-$L17)</f>
        <v>0.10748360320041969</v>
      </c>
      <c r="N19" s="1">
        <f>(N17-N18)/($L18-$L17)</f>
        <v>0.12268325434892836</v>
      </c>
      <c r="O19" s="1">
        <f>(O17-O18)/($L18-$L17)</f>
        <v>0.12123161922861264</v>
      </c>
      <c r="P19" s="1">
        <f>(P17-P18)/($L18-$L17)</f>
        <v>0.11812723743219528</v>
      </c>
    </row>
    <row r="20" spans="4:16" x14ac:dyDescent="0.35">
      <c r="D20" s="2">
        <v>11.5</v>
      </c>
      <c r="E20" s="15">
        <f t="shared" si="0"/>
        <v>0.2096304212340491</v>
      </c>
      <c r="F20" s="6">
        <f t="shared" si="6"/>
        <v>0.20947012649916816</v>
      </c>
      <c r="G20" s="14">
        <f t="shared" si="7"/>
        <v>0.29003815989269605</v>
      </c>
      <c r="H20" s="15">
        <f t="shared" si="3"/>
        <v>0.19512593292037653</v>
      </c>
      <c r="I20">
        <f t="shared" si="4"/>
        <v>0.31414671377329362</v>
      </c>
      <c r="J20" s="15">
        <f t="shared" si="5"/>
        <v>0.20237802746192612</v>
      </c>
    </row>
    <row r="21" spans="4:16" x14ac:dyDescent="0.35">
      <c r="D21" s="2">
        <v>12</v>
      </c>
      <c r="E21" s="17">
        <f t="shared" si="0"/>
        <v>0.21262363194247544</v>
      </c>
      <c r="F21" s="16">
        <f t="shared" si="6"/>
        <v>0.20947012649916816</v>
      </c>
      <c r="G21" s="14">
        <f t="shared" si="7"/>
        <v>0.18910581176343785</v>
      </c>
      <c r="H21" s="17">
        <f t="shared" si="3"/>
        <v>0.19089553232946302</v>
      </c>
      <c r="I21">
        <f t="shared" si="4"/>
        <v>0.21564379987078047</v>
      </c>
      <c r="J21" s="17">
        <f t="shared" si="5"/>
        <v>0.20031823705419885</v>
      </c>
    </row>
    <row r="22" spans="4:16" x14ac:dyDescent="0.35">
      <c r="D22" s="2">
        <v>12.5</v>
      </c>
      <c r="E22" s="15">
        <f t="shared" si="0"/>
        <v>0.21648375821158353</v>
      </c>
      <c r="F22" s="6">
        <f t="shared" si="6"/>
        <v>0.20947012649916816</v>
      </c>
      <c r="G22" s="14">
        <f t="shared" si="7"/>
        <v>0.11834918068146626</v>
      </c>
      <c r="H22" s="15">
        <f t="shared" si="3"/>
        <v>0.18689801802974151</v>
      </c>
      <c r="I22">
        <f t="shared" si="4"/>
        <v>0.14441459739768639</v>
      </c>
      <c r="J22" s="15">
        <f t="shared" si="5"/>
        <v>0.19838523262515986</v>
      </c>
    </row>
    <row r="23" spans="4:16" x14ac:dyDescent="0.35">
      <c r="D23" s="2">
        <v>13</v>
      </c>
      <c r="E23" s="17">
        <f t="shared" si="0"/>
        <v>0.22092752162097626</v>
      </c>
      <c r="F23" s="16">
        <f t="shared" si="6"/>
        <v>0.20947012649916816</v>
      </c>
      <c r="G23" s="14">
        <f t="shared" si="7"/>
        <v>7.0978574331243535E-2</v>
      </c>
      <c r="H23" s="17">
        <f t="shared" si="3"/>
        <v>0.18311266735649662</v>
      </c>
      <c r="I23">
        <f t="shared" si="4"/>
        <v>9.4412180642168275E-2</v>
      </c>
      <c r="J23" s="17">
        <f t="shared" si="5"/>
        <v>0.19656691561216069</v>
      </c>
    </row>
    <row r="24" spans="4:16" x14ac:dyDescent="0.35">
      <c r="D24" s="2">
        <v>13.5</v>
      </c>
      <c r="E24" s="15">
        <f t="shared" si="0"/>
        <v>0.22574150421556272</v>
      </c>
      <c r="F24" s="6">
        <f t="shared" si="6"/>
        <v>0.20947012649916816</v>
      </c>
      <c r="G24" s="14">
        <f t="shared" si="7"/>
        <v>4.0733901566391742E-2</v>
      </c>
      <c r="H24" s="15">
        <f t="shared" si="3"/>
        <v>0.17952127701763937</v>
      </c>
      <c r="I24">
        <f t="shared" si="4"/>
        <v>6.0298532453148521E-2</v>
      </c>
      <c r="J24" s="15">
        <f t="shared" si="5"/>
        <v>0.19485272507586171</v>
      </c>
    </row>
    <row r="25" spans="4:16" x14ac:dyDescent="0.35">
      <c r="D25" s="2">
        <v>14</v>
      </c>
      <c r="E25" s="15">
        <f t="shared" si="0"/>
        <v>0.23077158021851796</v>
      </c>
      <c r="F25" s="6">
        <f t="shared" si="6"/>
        <v>0.20947012649916816</v>
      </c>
      <c r="G25" s="14">
        <f t="shared" si="7"/>
        <v>2.2340112584534163E-2</v>
      </c>
      <c r="H25" s="15">
        <f t="shared" si="3"/>
        <v>0.17610777916893569</v>
      </c>
      <c r="I25">
        <f t="shared" si="4"/>
        <v>3.7652922560540342E-2</v>
      </c>
      <c r="J25" s="15">
        <f t="shared" si="5"/>
        <v>0.19323339641770615</v>
      </c>
    </row>
    <row r="26" spans="4:16" x14ac:dyDescent="0.35">
      <c r="D26" s="2">
        <v>14.5</v>
      </c>
      <c r="E26" s="15">
        <f t="shared" si="0"/>
        <v>0.23590921142176072</v>
      </c>
      <c r="F26" s="6">
        <f t="shared" si="6"/>
        <v>0.20947012649916816</v>
      </c>
      <c r="G26" s="14">
        <f t="shared" si="7"/>
        <v>1.1695318414364216E-2</v>
      </c>
      <c r="H26" s="15">
        <f t="shared" si="3"/>
        <v>0.17285792711999062</v>
      </c>
      <c r="I26">
        <f t="shared" si="4"/>
        <v>2.3007891561680646E-2</v>
      </c>
      <c r="J26" s="15">
        <f t="shared" si="5"/>
        <v>0.19170076474565809</v>
      </c>
    </row>
    <row r="27" spans="4:16" x14ac:dyDescent="0.35">
      <c r="D27" s="2">
        <v>15</v>
      </c>
      <c r="E27" s="15">
        <f t="shared" si="0"/>
        <v>0.24107916361332024</v>
      </c>
      <c r="F27" s="6">
        <f t="shared" si="6"/>
        <v>0.20947012649916816</v>
      </c>
      <c r="G27" s="14">
        <f t="shared" si="7"/>
        <v>5.8383417675933295E-3</v>
      </c>
      <c r="H27" s="15">
        <f t="shared" si="3"/>
        <v>0.16975903614778873</v>
      </c>
      <c r="I27">
        <f t="shared" si="4"/>
        <v>1.3769769749892831E-2</v>
      </c>
      <c r="J27" s="15">
        <f t="shared" si="5"/>
        <v>0.19024760344206021</v>
      </c>
    </row>
    <row r="28" spans="4:16" x14ac:dyDescent="0.35">
      <c r="D28" s="2">
        <v>15.5</v>
      </c>
      <c r="E28" s="15">
        <f t="shared" si="0"/>
        <v>0.2462299090885928</v>
      </c>
      <c r="F28" s="6">
        <f t="shared" si="6"/>
        <v>0.20947012649916816</v>
      </c>
      <c r="G28" s="14">
        <f t="shared" si="7"/>
        <v>2.7766544611750031E-3</v>
      </c>
      <c r="H28" s="15">
        <f t="shared" si="3"/>
        <v>0.16679976829485302</v>
      </c>
      <c r="I28">
        <f t="shared" si="4"/>
        <v>8.0786603067256584E-3</v>
      </c>
      <c r="J28" s="15">
        <f t="shared" si="5"/>
        <v>0.18886749072222608</v>
      </c>
    </row>
    <row r="29" spans="4:16" x14ac:dyDescent="0.35">
      <c r="D29" s="2">
        <v>16</v>
      </c>
      <c r="E29" s="15">
        <f t="shared" si="0"/>
        <v>0.25132659159726095</v>
      </c>
      <c r="F29" s="6">
        <f t="shared" si="6"/>
        <v>0.20947012649916816</v>
      </c>
      <c r="G29" s="14">
        <f t="shared" si="7"/>
        <v>1.2570659726179739E-3</v>
      </c>
      <c r="H29" s="15">
        <f t="shared" si="3"/>
        <v>0.16396995255159483</v>
      </c>
      <c r="I29">
        <f t="shared" si="4"/>
        <v>4.6505676225571113E-3</v>
      </c>
      <c r="J29" s="15">
        <f t="shared" si="5"/>
        <v>0.18755469862573049</v>
      </c>
    </row>
    <row r="30" spans="4:16" x14ac:dyDescent="0.35">
      <c r="D30" s="2">
        <v>16.5</v>
      </c>
      <c r="E30" s="15">
        <f t="shared" si="0"/>
        <v>0.25634602551030855</v>
      </c>
      <c r="F30" s="6">
        <f t="shared" si="6"/>
        <v>0.20947012649916816</v>
      </c>
      <c r="G30" s="14">
        <f t="shared" si="7"/>
        <v>5.4136100578716542E-4</v>
      </c>
      <c r="H30" s="15">
        <f t="shared" si="3"/>
        <v>0.16126043371361304</v>
      </c>
      <c r="I30">
        <f t="shared" si="4"/>
        <v>2.6291387613211884E-3</v>
      </c>
      <c r="J30" s="15">
        <f t="shared" si="5"/>
        <v>0.18630410011845891</v>
      </c>
    </row>
    <row r="31" spans="4:16" x14ac:dyDescent="0.35">
      <c r="D31" s="2">
        <v>17</v>
      </c>
      <c r="E31" s="15">
        <f t="shared" si="0"/>
        <v>0.26127318900862523</v>
      </c>
      <c r="F31" s="6">
        <f t="shared" si="6"/>
        <v>0.20947012649916816</v>
      </c>
      <c r="G31" s="14">
        <f t="shared" si="7"/>
        <v>2.2163188467633891E-4</v>
      </c>
      <c r="H31" s="15">
        <f t="shared" si="3"/>
        <v>0.15866294463654179</v>
      </c>
      <c r="I31">
        <f t="shared" si="4"/>
        <v>1.4609711970909091E-3</v>
      </c>
      <c r="J31" s="15">
        <f t="shared" si="5"/>
        <v>0.18511109091682315</v>
      </c>
    </row>
    <row r="32" spans="4:16" x14ac:dyDescent="0.35">
      <c r="D32" s="2">
        <v>17.5</v>
      </c>
      <c r="E32" s="15">
        <f t="shared" si="0"/>
        <v>0.26609877542069577</v>
      </c>
      <c r="F32" s="6">
        <f t="shared" si="6"/>
        <v>0.20947012649916816</v>
      </c>
      <c r="G32" s="14">
        <f t="shared" si="7"/>
        <v>8.6208139246538073E-5</v>
      </c>
      <c r="H32" s="15">
        <f t="shared" si="3"/>
        <v>0.15616999770510076</v>
      </c>
      <c r="I32">
        <f t="shared" si="4"/>
        <v>7.9865729558434534E-4</v>
      </c>
      <c r="J32" s="15">
        <f t="shared" si="5"/>
        <v>0.18397152335668099</v>
      </c>
    </row>
    <row r="33" spans="4:10" x14ac:dyDescent="0.35">
      <c r="D33" s="2">
        <v>18</v>
      </c>
      <c r="E33" s="15">
        <f t="shared" si="0"/>
        <v>0.27081748195427291</v>
      </c>
      <c r="F33" s="6">
        <f t="shared" si="6"/>
        <v>0.20947012649916816</v>
      </c>
      <c r="G33" s="14">
        <f t="shared" si="7"/>
        <v>3.184317612653143E-5</v>
      </c>
      <c r="H33" s="15">
        <f t="shared" si="3"/>
        <v>0.15377479217612289</v>
      </c>
      <c r="I33">
        <f t="shared" si="4"/>
        <v>4.2986170034993746E-4</v>
      </c>
      <c r="J33" s="15">
        <f t="shared" si="5"/>
        <v>0.18288165017602595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implied distribution</vt:lpstr>
      <vt:lpstr>Barrier options</vt:lpstr>
      <vt:lpstr>SABR</vt:lpstr>
      <vt:lpstr>Bachelier</vt:lpstr>
      <vt:lpstr>Ivol surface</vt:lpstr>
      <vt:lpstr>call spread</vt:lpstr>
      <vt:lpstr>call spread with SABR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2018-02-02T15:33:51Z</dcterms:modified>
</cp:coreProperties>
</file>