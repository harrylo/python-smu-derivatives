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filterPrivacy="1" codeName="ThisWorkbook"/>
  <bookViews>
    <workbookView xWindow="0" yWindow="0" windowWidth="22260" windowHeight="12650" firstSheet="1" activeTab="9"/>
  </bookViews>
  <sheets>
    <sheet name="Sheet1" sheetId="1" r:id="rId1"/>
    <sheet name="Price" sheetId="7" r:id="rId2"/>
    <sheet name="Delta" sheetId="2" r:id="rId3"/>
    <sheet name="Gamma" sheetId="3" r:id="rId4"/>
    <sheet name="Vega" sheetId="4" r:id="rId5"/>
    <sheet name="Rho" sheetId="6" r:id="rId6"/>
    <sheet name="Theta" sheetId="5" r:id="rId7"/>
    <sheet name="call spread" sheetId="8" r:id="rId8"/>
    <sheet name="digi call" sheetId="9" r:id="rId9"/>
    <sheet name="trade the vol" sheetId="10" r:id="rId10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0" l="1"/>
  <c r="G8" i="10"/>
  <c r="F8" i="10"/>
  <c r="G7" i="10"/>
  <c r="F7" i="10"/>
  <c r="H7" i="10" l="1"/>
  <c r="I8" i="10"/>
  <c r="J8" i="10"/>
  <c r="H8" i="10"/>
  <c r="H3" i="8"/>
  <c r="H11" i="8"/>
  <c r="E9" i="10" l="1"/>
  <c r="F11" i="10"/>
  <c r="G11" i="10"/>
  <c r="F9" i="10"/>
  <c r="G9" i="10"/>
  <c r="H9" i="10" l="1"/>
  <c r="J9" i="10"/>
  <c r="E10" i="10"/>
  <c r="I9" i="10"/>
  <c r="A13" i="5"/>
  <c r="A12" i="5"/>
  <c r="G64" i="8"/>
  <c r="G65" i="8"/>
  <c r="G73" i="8"/>
  <c r="G68" i="8"/>
  <c r="G71" i="8"/>
  <c r="G66" i="8"/>
  <c r="G74" i="8"/>
  <c r="G79" i="8"/>
  <c r="G67" i="8"/>
  <c r="G75" i="8"/>
  <c r="G76" i="8"/>
  <c r="G69" i="8"/>
  <c r="G77" i="8"/>
  <c r="G70" i="8"/>
  <c r="G78" i="8"/>
  <c r="G72" i="8"/>
  <c r="G63" i="8"/>
  <c r="F64" i="8"/>
  <c r="F72" i="8"/>
  <c r="F65" i="8"/>
  <c r="F73" i="8"/>
  <c r="F76" i="8"/>
  <c r="F66" i="8"/>
  <c r="F74" i="8"/>
  <c r="F78" i="8"/>
  <c r="F67" i="8"/>
  <c r="F75" i="8"/>
  <c r="F79" i="8"/>
  <c r="F68" i="8"/>
  <c r="F69" i="8"/>
  <c r="F77" i="8"/>
  <c r="F70" i="8"/>
  <c r="F71" i="8"/>
  <c r="F63" i="8"/>
  <c r="F44" i="8"/>
  <c r="F48" i="8"/>
  <c r="F52" i="8"/>
  <c r="F56" i="8"/>
  <c r="G51" i="8"/>
  <c r="G44" i="8"/>
  <c r="G48" i="8"/>
  <c r="G52" i="8"/>
  <c r="G56" i="8"/>
  <c r="G47" i="8"/>
  <c r="F45" i="8"/>
  <c r="F49" i="8"/>
  <c r="F53" i="8"/>
  <c r="F57" i="8"/>
  <c r="F55" i="8"/>
  <c r="G55" i="8"/>
  <c r="G45" i="8"/>
  <c r="G49" i="8"/>
  <c r="G53" i="8"/>
  <c r="G57" i="8"/>
  <c r="F59" i="8"/>
  <c r="F46" i="8"/>
  <c r="F50" i="8"/>
  <c r="F54" i="8"/>
  <c r="F58" i="8"/>
  <c r="F51" i="8"/>
  <c r="G46" i="8"/>
  <c r="G50" i="8"/>
  <c r="G54" i="8"/>
  <c r="G58" i="8"/>
  <c r="F47" i="8"/>
  <c r="G59" i="8"/>
  <c r="G43" i="8"/>
  <c r="F43" i="8"/>
  <c r="G24" i="8"/>
  <c r="G32" i="8"/>
  <c r="G28" i="8"/>
  <c r="G25" i="8"/>
  <c r="G33" i="8"/>
  <c r="G39" i="8"/>
  <c r="G26" i="8"/>
  <c r="G34" i="8"/>
  <c r="G31" i="8"/>
  <c r="G27" i="8"/>
  <c r="G35" i="8"/>
  <c r="G36" i="8"/>
  <c r="G29" i="8"/>
  <c r="G37" i="8"/>
  <c r="G30" i="8"/>
  <c r="G38" i="8"/>
  <c r="G23" i="8"/>
  <c r="G4" i="8"/>
  <c r="G5" i="8"/>
  <c r="G13" i="8"/>
  <c r="G8" i="8"/>
  <c r="G19" i="8"/>
  <c r="G6" i="8"/>
  <c r="G14" i="8"/>
  <c r="G16" i="8"/>
  <c r="G7" i="8"/>
  <c r="G15" i="8"/>
  <c r="G12" i="8"/>
  <c r="G9" i="8"/>
  <c r="G17" i="8"/>
  <c r="G10" i="8"/>
  <c r="G18" i="8"/>
  <c r="G11" i="8"/>
  <c r="G3" i="8"/>
  <c r="F24" i="8"/>
  <c r="F34" i="8"/>
  <c r="F39" i="8"/>
  <c r="F25" i="8"/>
  <c r="F29" i="8"/>
  <c r="F33" i="8"/>
  <c r="F37" i="8"/>
  <c r="F38" i="8"/>
  <c r="F31" i="8"/>
  <c r="F30" i="8"/>
  <c r="F27" i="8"/>
  <c r="F26" i="8"/>
  <c r="F28" i="8"/>
  <c r="F32" i="8"/>
  <c r="F36" i="8"/>
  <c r="F35" i="8"/>
  <c r="F23" i="8"/>
  <c r="F8" i="8"/>
  <c r="F12" i="8"/>
  <c r="F16" i="8"/>
  <c r="F5" i="8"/>
  <c r="F13" i="8"/>
  <c r="F9" i="8"/>
  <c r="F6" i="8"/>
  <c r="F17" i="8"/>
  <c r="F14" i="8"/>
  <c r="F18" i="8"/>
  <c r="F7" i="8"/>
  <c r="F11" i="8"/>
  <c r="F15" i="8"/>
  <c r="F19" i="8"/>
  <c r="F10" i="8"/>
  <c r="F4" i="8"/>
  <c r="F3" i="8"/>
  <c r="H19" i="9"/>
  <c r="F17" i="9"/>
  <c r="G14" i="9"/>
  <c r="H11" i="9"/>
  <c r="G19" i="9"/>
  <c r="H16" i="9"/>
  <c r="F14" i="9"/>
  <c r="G11" i="9"/>
  <c r="H8" i="9"/>
  <c r="F6" i="9"/>
  <c r="G3" i="9"/>
  <c r="H17" i="9"/>
  <c r="G4" i="9"/>
  <c r="H6" i="9"/>
  <c r="G6" i="9"/>
  <c r="F19" i="9"/>
  <c r="G16" i="9"/>
  <c r="H13" i="9"/>
  <c r="F11" i="9"/>
  <c r="G8" i="9"/>
  <c r="H5" i="9"/>
  <c r="F3" i="9"/>
  <c r="H18" i="9"/>
  <c r="F16" i="9"/>
  <c r="G13" i="9"/>
  <c r="H10" i="9"/>
  <c r="F8" i="9"/>
  <c r="G5" i="9"/>
  <c r="G12" i="9"/>
  <c r="F7" i="9"/>
  <c r="G9" i="9"/>
  <c r="F9" i="9"/>
  <c r="G18" i="9"/>
  <c r="H15" i="9"/>
  <c r="F13" i="9"/>
  <c r="G10" i="9"/>
  <c r="H7" i="9"/>
  <c r="F5" i="9"/>
  <c r="F18" i="9"/>
  <c r="G15" i="9"/>
  <c r="H12" i="9"/>
  <c r="F10" i="9"/>
  <c r="G7" i="9"/>
  <c r="H4" i="9"/>
  <c r="F15" i="9"/>
  <c r="H9" i="9"/>
  <c r="F12" i="9"/>
  <c r="H3" i="9"/>
  <c r="G17" i="9"/>
  <c r="H14" i="9"/>
  <c r="F4" i="9"/>
  <c r="G10" i="10"/>
  <c r="F10" i="10"/>
  <c r="C12" i="5"/>
  <c r="C11" i="5"/>
  <c r="F3" i="5"/>
  <c r="F12" i="5"/>
  <c r="H10" i="10" l="1"/>
  <c r="I10" i="10"/>
  <c r="J10" i="10"/>
  <c r="J11" i="10"/>
  <c r="H11" i="10"/>
  <c r="H68" i="8"/>
  <c r="H64" i="8"/>
  <c r="H72" i="8"/>
  <c r="H70" i="8"/>
  <c r="H78" i="8"/>
  <c r="H75" i="8"/>
  <c r="H65" i="8"/>
  <c r="H73" i="8"/>
  <c r="H76" i="8"/>
  <c r="H63" i="8"/>
  <c r="H71" i="8"/>
  <c r="H79" i="8"/>
  <c r="H66" i="8"/>
  <c r="H74" i="8"/>
  <c r="H67" i="8"/>
  <c r="H69" i="8"/>
  <c r="H77" i="8"/>
  <c r="H23" i="8"/>
  <c r="H35" i="8"/>
  <c r="H36" i="8"/>
  <c r="H32" i="8"/>
  <c r="H28" i="8"/>
  <c r="H26" i="8"/>
  <c r="H27" i="8"/>
  <c r="H30" i="8"/>
  <c r="H31" i="8"/>
  <c r="H38" i="8"/>
  <c r="H37" i="8"/>
  <c r="H33" i="8"/>
  <c r="H29" i="8"/>
  <c r="H25" i="8"/>
  <c r="H39" i="8"/>
  <c r="H34" i="8"/>
  <c r="H24" i="8"/>
  <c r="H58" i="8"/>
  <c r="H45" i="8"/>
  <c r="H53" i="8"/>
  <c r="H47" i="8"/>
  <c r="H48" i="8"/>
  <c r="H56" i="8"/>
  <c r="H44" i="8"/>
  <c r="H55" i="8"/>
  <c r="H50" i="8"/>
  <c r="H43" i="8"/>
  <c r="H51" i="8"/>
  <c r="H59" i="8"/>
  <c r="H54" i="8"/>
  <c r="H52" i="8"/>
  <c r="H46" i="8"/>
  <c r="H49" i="8"/>
  <c r="H57" i="8"/>
  <c r="H18" i="8"/>
  <c r="H10" i="8"/>
  <c r="H17" i="8"/>
  <c r="H9" i="8"/>
  <c r="H12" i="8"/>
  <c r="H15" i="8"/>
  <c r="H7" i="8"/>
  <c r="H16" i="8"/>
  <c r="H14" i="8"/>
  <c r="H6" i="8"/>
  <c r="H19" i="8"/>
  <c r="H8" i="8"/>
  <c r="H13" i="8"/>
  <c r="H5" i="8"/>
  <c r="H4" i="8"/>
  <c r="A15" i="5"/>
  <c r="C13" i="5"/>
  <c r="F29" i="2"/>
  <c r="I35" i="2"/>
  <c r="I34" i="2"/>
  <c r="G34" i="2"/>
  <c r="H31" i="2"/>
  <c r="J29" i="2"/>
  <c r="H36" i="2"/>
  <c r="H35" i="2"/>
  <c r="I36" i="2"/>
  <c r="J25" i="2"/>
  <c r="D24" i="7"/>
  <c r="D27" i="7"/>
  <c r="D22" i="7"/>
  <c r="D14" i="7"/>
  <c r="D19" i="7"/>
  <c r="K15" i="6"/>
  <c r="J3" i="6"/>
  <c r="F4" i="2"/>
  <c r="I18" i="1"/>
  <c r="H4" i="1"/>
  <c r="L9" i="6"/>
  <c r="G19" i="6"/>
  <c r="H15" i="6"/>
  <c r="G9" i="2"/>
  <c r="I7" i="1"/>
  <c r="I7" i="6"/>
  <c r="K14" i="6"/>
  <c r="F9" i="2"/>
  <c r="I15" i="1"/>
  <c r="F7" i="6"/>
  <c r="J17" i="6"/>
  <c r="I19" i="2"/>
  <c r="J17" i="1"/>
  <c r="F16" i="1"/>
  <c r="F15" i="6"/>
  <c r="K18" i="6"/>
  <c r="F16" i="2"/>
  <c r="I13" i="1"/>
  <c r="F5" i="1"/>
  <c r="J10" i="6"/>
  <c r="I6" i="1"/>
  <c r="I16" i="1"/>
  <c r="I3" i="6"/>
  <c r="F4" i="6"/>
  <c r="F8" i="2"/>
  <c r="J18" i="2"/>
  <c r="H11" i="6"/>
  <c r="F13" i="2"/>
  <c r="F17" i="1"/>
  <c r="G17" i="2"/>
  <c r="H10" i="6"/>
  <c r="G74" i="2"/>
  <c r="F67" i="2"/>
  <c r="G79" i="2"/>
  <c r="G71" i="2"/>
  <c r="F79" i="2"/>
  <c r="G68" i="2"/>
  <c r="G45" i="2"/>
  <c r="F52" i="2"/>
  <c r="F59" i="2"/>
  <c r="F54" i="2"/>
  <c r="G58" i="2"/>
  <c r="G47" i="2"/>
  <c r="H44" i="2"/>
  <c r="H14" i="2"/>
  <c r="K8" i="6"/>
  <c r="I13" i="6"/>
  <c r="I15" i="6"/>
  <c r="F49" i="2"/>
  <c r="H24" i="2"/>
  <c r="G37" i="2"/>
  <c r="J37" i="2"/>
  <c r="J35" i="2"/>
  <c r="G36" i="2"/>
  <c r="G25" i="2"/>
  <c r="F38" i="2"/>
  <c r="H25" i="2"/>
  <c r="G38" i="2"/>
  <c r="J33" i="2"/>
  <c r="D32" i="7"/>
  <c r="D35" i="7"/>
  <c r="D4" i="7"/>
  <c r="D15" i="7"/>
  <c r="D3" i="7"/>
  <c r="I17" i="6"/>
  <c r="J9" i="2"/>
  <c r="H5" i="2"/>
  <c r="H10" i="1"/>
  <c r="G9" i="1"/>
  <c r="L4" i="6"/>
  <c r="I5" i="6"/>
  <c r="F16" i="6"/>
  <c r="I16" i="2"/>
  <c r="H6" i="1"/>
  <c r="I19" i="6"/>
  <c r="K13" i="6"/>
  <c r="I15" i="2"/>
  <c r="G6" i="1"/>
  <c r="K7" i="6"/>
  <c r="K12" i="6"/>
  <c r="F17" i="2"/>
  <c r="I5" i="1"/>
  <c r="F12" i="1"/>
  <c r="L8" i="6"/>
  <c r="J19" i="6"/>
  <c r="G13" i="2"/>
  <c r="I19" i="1"/>
  <c r="F6" i="6"/>
  <c r="H12" i="6"/>
  <c r="H15" i="1"/>
  <c r="C9" i="1"/>
  <c r="J19" i="2"/>
  <c r="J18" i="1"/>
  <c r="J16" i="1"/>
  <c r="I6" i="2"/>
  <c r="F13" i="6"/>
  <c r="G7" i="2"/>
  <c r="I12" i="2"/>
  <c r="G12" i="2"/>
  <c r="H14" i="6"/>
  <c r="F77" i="2"/>
  <c r="H69" i="2"/>
  <c r="G67" i="2"/>
  <c r="H67" i="2"/>
  <c r="F74" i="2"/>
  <c r="H81" i="2"/>
  <c r="F48" i="2"/>
  <c r="F60" i="2"/>
  <c r="H51" i="2"/>
  <c r="H56" i="2"/>
  <c r="H59" i="2"/>
  <c r="F50" i="2"/>
  <c r="F44" i="2"/>
  <c r="H5" i="6"/>
  <c r="G16" i="2"/>
  <c r="G11" i="2"/>
  <c r="F15" i="1"/>
  <c r="H78" i="2"/>
  <c r="F26" i="2"/>
  <c r="J38" i="2"/>
  <c r="I24" i="2"/>
  <c r="H37" i="2"/>
  <c r="J24" i="2"/>
  <c r="J26" i="2"/>
  <c r="I39" i="2"/>
  <c r="F27" i="2"/>
  <c r="J39" i="2"/>
  <c r="I38" i="2"/>
  <c r="D33" i="7"/>
  <c r="D28" i="7"/>
  <c r="D5" i="7"/>
  <c r="D17" i="7"/>
  <c r="G5" i="6"/>
  <c r="I12" i="6"/>
  <c r="J17" i="2"/>
  <c r="G15" i="2"/>
  <c r="H19" i="1"/>
  <c r="F19" i="1"/>
  <c r="G18" i="6"/>
  <c r="F18" i="6"/>
  <c r="K3" i="6"/>
  <c r="I5" i="2"/>
  <c r="G12" i="1"/>
  <c r="I6" i="6"/>
  <c r="K19" i="6"/>
  <c r="I8" i="2"/>
  <c r="F4" i="1"/>
  <c r="H9" i="6"/>
  <c r="G3" i="6"/>
  <c r="H16" i="2"/>
  <c r="I8" i="1"/>
  <c r="H17" i="6"/>
  <c r="J11" i="6"/>
  <c r="H3" i="6"/>
  <c r="H18" i="2"/>
  <c r="H5" i="1"/>
  <c r="F19" i="6"/>
  <c r="L13" i="6"/>
  <c r="G7" i="1"/>
  <c r="F11" i="2"/>
  <c r="F6" i="2"/>
  <c r="J11" i="2"/>
  <c r="H9" i="1"/>
  <c r="I10" i="2"/>
  <c r="H9" i="2"/>
  <c r="H8" i="2"/>
  <c r="G19" i="1"/>
  <c r="J12" i="1"/>
  <c r="H10" i="2"/>
  <c r="H79" i="2"/>
  <c r="G72" i="2"/>
  <c r="F70" i="2"/>
  <c r="G70" i="2"/>
  <c r="F68" i="2"/>
  <c r="H76" i="2"/>
  <c r="H50" i="2"/>
  <c r="H47" i="2"/>
  <c r="H46" i="2"/>
  <c r="G59" i="2"/>
  <c r="F47" i="2"/>
  <c r="H52" i="2"/>
  <c r="G55" i="2"/>
  <c r="F11" i="1"/>
  <c r="G14" i="1"/>
  <c r="G3" i="1"/>
  <c r="F69" i="2"/>
  <c r="H53" i="2"/>
  <c r="F24" i="2"/>
  <c r="I27" i="2"/>
  <c r="H26" i="2"/>
  <c r="G26" i="2"/>
  <c r="F39" i="2"/>
  <c r="G31" i="2"/>
  <c r="H28" i="2"/>
  <c r="G27" i="2"/>
  <c r="I28" i="2"/>
  <c r="I25" i="2"/>
  <c r="G23" i="2"/>
  <c r="D26" i="7"/>
  <c r="D36" i="7"/>
  <c r="D13" i="7"/>
  <c r="D8" i="7"/>
  <c r="J16" i="6"/>
  <c r="I11" i="6"/>
  <c r="F15" i="2"/>
  <c r="I18" i="2"/>
  <c r="G16" i="1"/>
  <c r="J3" i="1"/>
  <c r="L19" i="6"/>
  <c r="I4" i="6"/>
  <c r="J7" i="2"/>
  <c r="H7" i="2"/>
  <c r="F6" i="1"/>
  <c r="J15" i="6"/>
  <c r="H7" i="6"/>
  <c r="G8" i="2"/>
  <c r="L6" i="6"/>
  <c r="K6" i="6"/>
  <c r="J3" i="2"/>
  <c r="G10" i="2"/>
  <c r="I3" i="1"/>
  <c r="I9" i="6"/>
  <c r="L7" i="6"/>
  <c r="J10" i="2"/>
  <c r="H4" i="2"/>
  <c r="H18" i="1"/>
  <c r="F10" i="6"/>
  <c r="G15" i="6"/>
  <c r="F13" i="1"/>
  <c r="G6" i="2"/>
  <c r="F5" i="2"/>
  <c r="F11" i="6"/>
  <c r="I10" i="1"/>
  <c r="I14" i="2"/>
  <c r="G5" i="1"/>
  <c r="J8" i="1"/>
  <c r="G13" i="6"/>
  <c r="H13" i="1"/>
  <c r="H7" i="1"/>
  <c r="H66" i="2"/>
  <c r="F75" i="2"/>
  <c r="H72" i="2"/>
  <c r="F73" i="2"/>
  <c r="H70" i="2"/>
  <c r="F80" i="2"/>
  <c r="G53" i="2"/>
  <c r="H45" i="2"/>
  <c r="G57" i="2"/>
  <c r="G46" i="2"/>
  <c r="H49" i="2"/>
  <c r="F8" i="1"/>
  <c r="J7" i="6"/>
  <c r="J14" i="1"/>
  <c r="K11" i="6"/>
  <c r="H73" i="2"/>
  <c r="H54" i="2"/>
  <c r="G35" i="2"/>
  <c r="G29" i="2"/>
  <c r="I29" i="2"/>
  <c r="J27" i="2"/>
  <c r="F28" i="2"/>
  <c r="G39" i="2"/>
  <c r="F30" i="2"/>
  <c r="F32" i="2"/>
  <c r="G30" i="2"/>
  <c r="J28" i="2"/>
  <c r="I23" i="2"/>
  <c r="D38" i="7"/>
  <c r="D29" i="7"/>
  <c r="D7" i="7"/>
  <c r="D16" i="7"/>
  <c r="G4" i="6"/>
  <c r="H8" i="6"/>
  <c r="F14" i="2"/>
  <c r="I3" i="2"/>
  <c r="G11" i="1"/>
  <c r="I4" i="1"/>
  <c r="H6" i="6"/>
  <c r="J13" i="6"/>
  <c r="J15" i="2"/>
  <c r="F12" i="2"/>
  <c r="J9" i="1"/>
  <c r="H18" i="6"/>
  <c r="I16" i="6"/>
  <c r="F7" i="2"/>
  <c r="J8" i="6"/>
  <c r="L15" i="6"/>
  <c r="J13" i="2"/>
  <c r="J16" i="2"/>
  <c r="H16" i="1"/>
  <c r="K9" i="6"/>
  <c r="F17" i="6"/>
  <c r="J14" i="2"/>
  <c r="J6" i="2"/>
  <c r="H3" i="1"/>
  <c r="I10" i="6"/>
  <c r="G14" i="2"/>
  <c r="I17" i="2"/>
  <c r="F14" i="1"/>
  <c r="I14" i="1"/>
  <c r="G7" i="6"/>
  <c r="J11" i="1"/>
  <c r="J6" i="1"/>
  <c r="I9" i="2"/>
  <c r="I17" i="1"/>
  <c r="L12" i="6"/>
  <c r="G13" i="1"/>
  <c r="F66" i="2"/>
  <c r="F72" i="2"/>
  <c r="H77" i="2"/>
  <c r="G75" i="2"/>
  <c r="H75" i="2"/>
  <c r="G73" i="2"/>
  <c r="G65" i="2"/>
  <c r="F56" i="2"/>
  <c r="G48" i="2"/>
  <c r="H55" i="2"/>
  <c r="G54" i="2"/>
  <c r="G52" i="2"/>
  <c r="F58" i="2"/>
  <c r="F14" i="6"/>
  <c r="J4" i="6"/>
  <c r="G18" i="1"/>
  <c r="H11" i="1"/>
  <c r="H80" i="2"/>
  <c r="H57" i="2"/>
  <c r="H27" i="2"/>
  <c r="J30" i="2"/>
  <c r="H34" i="2"/>
  <c r="H29" i="2"/>
  <c r="J32" i="2"/>
  <c r="G28" i="2"/>
  <c r="I31" i="2"/>
  <c r="J36" i="2"/>
  <c r="J31" i="2"/>
  <c r="H30" i="2"/>
  <c r="J23" i="2"/>
  <c r="D31" i="7"/>
  <c r="D37" i="7"/>
  <c r="D9" i="7"/>
  <c r="D10" i="7"/>
  <c r="H13" i="6"/>
  <c r="F5" i="6"/>
  <c r="G5" i="2"/>
  <c r="J7" i="1"/>
  <c r="F18" i="1"/>
  <c r="H12" i="1"/>
  <c r="L18" i="6"/>
  <c r="J12" i="6"/>
  <c r="I4" i="2"/>
  <c r="F3" i="2"/>
  <c r="H14" i="1"/>
  <c r="J6" i="6"/>
  <c r="G8" i="6"/>
  <c r="I7" i="2"/>
  <c r="L5" i="6"/>
  <c r="L14" i="6"/>
  <c r="J12" i="2"/>
  <c r="G19" i="2"/>
  <c r="H17" i="1"/>
  <c r="G16" i="6"/>
  <c r="K4" i="6"/>
  <c r="J4" i="2"/>
  <c r="F18" i="2"/>
  <c r="G8" i="1"/>
  <c r="K10" i="6"/>
  <c r="H17" i="2"/>
  <c r="H3" i="2"/>
  <c r="H16" i="6"/>
  <c r="F3" i="1"/>
  <c r="F8" i="6"/>
  <c r="G12" i="6"/>
  <c r="I9" i="1"/>
  <c r="G11" i="6"/>
  <c r="G4" i="1"/>
  <c r="H19" i="6"/>
  <c r="F10" i="1"/>
  <c r="G66" i="2"/>
  <c r="H74" i="2"/>
  <c r="G80" i="2"/>
  <c r="F78" i="2"/>
  <c r="G78" i="2"/>
  <c r="F76" i="2"/>
  <c r="H65" i="2"/>
  <c r="H58" i="2"/>
  <c r="F51" i="2"/>
  <c r="F46" i="2"/>
  <c r="G49" i="2"/>
  <c r="F55" i="2"/>
  <c r="H60" i="2"/>
  <c r="G14" i="6"/>
  <c r="K5" i="6"/>
  <c r="H8" i="1"/>
  <c r="F12" i="6"/>
  <c r="F65" i="2"/>
  <c r="G32" i="2"/>
  <c r="H32" i="2"/>
  <c r="I37" i="2"/>
  <c r="F31" i="2"/>
  <c r="F36" i="2"/>
  <c r="F33" i="2"/>
  <c r="G33" i="2"/>
  <c r="G24" i="2"/>
  <c r="H33" i="2"/>
  <c r="I33" i="2"/>
  <c r="H23" i="2"/>
  <c r="D25" i="7"/>
  <c r="D30" i="7"/>
  <c r="D12" i="7"/>
  <c r="D18" i="7"/>
  <c r="L16" i="6"/>
  <c r="J19" i="1"/>
  <c r="J15" i="1"/>
  <c r="G17" i="1"/>
  <c r="G17" i="6"/>
  <c r="L3" i="6"/>
  <c r="I11" i="2"/>
  <c r="F3" i="6"/>
  <c r="G10" i="6"/>
  <c r="F81" i="2"/>
  <c r="F53" i="2"/>
  <c r="F37" i="2"/>
  <c r="F34" i="2"/>
  <c r="I26" i="2"/>
  <c r="I32" i="2"/>
  <c r="F25" i="2"/>
  <c r="H39" i="2"/>
  <c r="J34" i="2"/>
  <c r="I30" i="2"/>
  <c r="F35" i="2"/>
  <c r="H38" i="2"/>
  <c r="F23" i="2"/>
  <c r="D34" i="7"/>
  <c r="D23" i="7"/>
  <c r="D6" i="7"/>
  <c r="D11" i="7"/>
  <c r="H4" i="6"/>
  <c r="K17" i="6"/>
  <c r="H6" i="2"/>
  <c r="I12" i="1"/>
  <c r="I11" i="1"/>
  <c r="L10" i="6"/>
  <c r="I14" i="6"/>
  <c r="G6" i="6"/>
  <c r="H15" i="2"/>
  <c r="J4" i="1"/>
  <c r="F9" i="6"/>
  <c r="J5" i="6"/>
  <c r="J5" i="2"/>
  <c r="J5" i="1"/>
  <c r="K16" i="6"/>
  <c r="I8" i="6"/>
  <c r="G4" i="2"/>
  <c r="J13" i="1"/>
  <c r="G10" i="1"/>
  <c r="L17" i="6"/>
  <c r="J9" i="6"/>
  <c r="H12" i="2"/>
  <c r="J10" i="1"/>
  <c r="F9" i="1"/>
  <c r="I13" i="2"/>
  <c r="G3" i="2"/>
  <c r="G15" i="1"/>
  <c r="I18" i="6"/>
  <c r="F7" i="1"/>
  <c r="H19" i="2"/>
  <c r="G9" i="6"/>
  <c r="J14" i="6"/>
  <c r="L11" i="6"/>
  <c r="G18" i="2"/>
  <c r="J8" i="2"/>
  <c r="J18" i="6"/>
  <c r="H71" i="2"/>
  <c r="G69" i="2"/>
  <c r="H68" i="2"/>
  <c r="G76" i="2"/>
  <c r="F71" i="2"/>
  <c r="G81" i="2"/>
  <c r="F45" i="2"/>
  <c r="F57" i="2"/>
  <c r="G56" i="2"/>
  <c r="G51" i="2"/>
  <c r="G50" i="2"/>
  <c r="G60" i="2"/>
  <c r="G44" i="2"/>
  <c r="F10" i="2"/>
  <c r="H11" i="2"/>
  <c r="H13" i="2"/>
  <c r="F19" i="2"/>
  <c r="G77" i="2"/>
  <c r="H48" i="2"/>
  <c r="H27" i="4"/>
  <c r="H29" i="4"/>
  <c r="F28" i="4"/>
  <c r="I27" i="4"/>
  <c r="I29" i="4"/>
  <c r="G28" i="4"/>
  <c r="H28" i="4"/>
  <c r="F27" i="4"/>
  <c r="G27" i="4"/>
  <c r="I28" i="4"/>
  <c r="F29" i="4"/>
  <c r="G29" i="4"/>
  <c r="H20" i="4"/>
  <c r="H22" i="4"/>
  <c r="H24" i="4"/>
  <c r="H26" i="4"/>
  <c r="F21" i="4"/>
  <c r="F25" i="4"/>
  <c r="G23" i="4"/>
  <c r="F24" i="4"/>
  <c r="G22" i="4"/>
  <c r="I20" i="4"/>
  <c r="I22" i="4"/>
  <c r="I24" i="4"/>
  <c r="I26" i="4"/>
  <c r="F23" i="4"/>
  <c r="G21" i="4"/>
  <c r="G25" i="4"/>
  <c r="G20" i="4"/>
  <c r="G26" i="4"/>
  <c r="H21" i="4"/>
  <c r="H23" i="4"/>
  <c r="H25" i="4"/>
  <c r="I21" i="4"/>
  <c r="I23" i="4"/>
  <c r="I25" i="4"/>
  <c r="F20" i="4"/>
  <c r="F22" i="4"/>
  <c r="F26" i="4"/>
  <c r="G24" i="4"/>
  <c r="G6" i="4"/>
  <c r="G8" i="4"/>
  <c r="F14" i="4"/>
  <c r="F7" i="4"/>
  <c r="H15" i="4"/>
  <c r="H11" i="4"/>
  <c r="F17" i="4"/>
  <c r="G10" i="4"/>
  <c r="G16" i="4"/>
  <c r="G11" i="4"/>
  <c r="H17" i="4"/>
  <c r="F9" i="4"/>
  <c r="G9" i="4"/>
  <c r="G12" i="4"/>
  <c r="H5" i="4"/>
  <c r="H9" i="4"/>
  <c r="G5" i="4"/>
  <c r="H6" i="4"/>
  <c r="F8" i="4"/>
  <c r="H18" i="4"/>
  <c r="F11" i="4"/>
  <c r="G13" i="4"/>
  <c r="H19" i="4"/>
  <c r="F13" i="4"/>
  <c r="F5" i="4"/>
  <c r="G17" i="4"/>
  <c r="H8" i="4"/>
  <c r="H13" i="4"/>
  <c r="G18" i="4"/>
  <c r="F10" i="4"/>
  <c r="G7" i="4"/>
  <c r="F18" i="4"/>
  <c r="G19" i="4"/>
  <c r="H16" i="4"/>
  <c r="F15" i="4"/>
  <c r="F16" i="4"/>
  <c r="H7" i="4"/>
  <c r="H10" i="4"/>
  <c r="H14" i="4"/>
  <c r="G15" i="4"/>
  <c r="H12" i="4"/>
  <c r="F12" i="4"/>
  <c r="F19" i="4"/>
  <c r="F6" i="4"/>
  <c r="G14" i="4"/>
  <c r="H4" i="4"/>
  <c r="G4" i="4"/>
  <c r="F4" i="4"/>
  <c r="F3" i="4"/>
  <c r="H3" i="4"/>
  <c r="G3" i="4"/>
  <c r="I6" i="4"/>
  <c r="I7" i="4"/>
  <c r="I15" i="4"/>
  <c r="I5" i="4"/>
  <c r="I8" i="4"/>
  <c r="I16" i="4"/>
  <c r="I11" i="4"/>
  <c r="I19" i="4"/>
  <c r="I13" i="4"/>
  <c r="I9" i="4"/>
  <c r="I17" i="4"/>
  <c r="I4" i="4"/>
  <c r="I14" i="4"/>
  <c r="I10" i="4"/>
  <c r="I18" i="4"/>
  <c r="I3" i="4"/>
  <c r="I12" i="4"/>
  <c r="F23" i="3"/>
  <c r="H25" i="3"/>
  <c r="G28" i="3"/>
  <c r="F31" i="3"/>
  <c r="H33" i="3"/>
  <c r="G36" i="3"/>
  <c r="F34" i="3"/>
  <c r="F37" i="3"/>
  <c r="G24" i="3"/>
  <c r="F35" i="3"/>
  <c r="G33" i="3"/>
  <c r="G23" i="3"/>
  <c r="F26" i="3"/>
  <c r="H28" i="3"/>
  <c r="G31" i="3"/>
  <c r="H36" i="3"/>
  <c r="H34" i="3"/>
  <c r="G32" i="3"/>
  <c r="F28" i="3"/>
  <c r="H23" i="3"/>
  <c r="G26" i="3"/>
  <c r="F29" i="3"/>
  <c r="H31" i="3"/>
  <c r="G34" i="3"/>
  <c r="F32" i="3"/>
  <c r="F27" i="3"/>
  <c r="H37" i="3"/>
  <c r="F36" i="3"/>
  <c r="F24" i="3"/>
  <c r="H26" i="3"/>
  <c r="G29" i="3"/>
  <c r="G37" i="3"/>
  <c r="H29" i="3"/>
  <c r="H38" i="3"/>
  <c r="H24" i="3"/>
  <c r="G27" i="3"/>
  <c r="F30" i="3"/>
  <c r="H32" i="3"/>
  <c r="G35" i="3"/>
  <c r="F38" i="3"/>
  <c r="F25" i="3"/>
  <c r="G30" i="3"/>
  <c r="F33" i="3"/>
  <c r="G38" i="3"/>
  <c r="H30" i="3"/>
  <c r="H27" i="3"/>
  <c r="H35" i="3"/>
  <c r="G25" i="3"/>
  <c r="G22" i="3"/>
  <c r="H22" i="3"/>
  <c r="F22" i="3"/>
  <c r="H6" i="3"/>
  <c r="H14" i="3"/>
  <c r="H18" i="3"/>
  <c r="H17" i="3"/>
  <c r="H12" i="3"/>
  <c r="H11" i="3"/>
  <c r="H13" i="3"/>
  <c r="H15" i="3"/>
  <c r="H7" i="3"/>
  <c r="H8" i="3"/>
  <c r="H19" i="3"/>
  <c r="H3" i="3"/>
  <c r="H10" i="3"/>
  <c r="H5" i="3"/>
  <c r="H9" i="3"/>
  <c r="H16" i="3"/>
  <c r="H4" i="3"/>
  <c r="G14" i="5"/>
  <c r="F13" i="5"/>
  <c r="F11" i="5"/>
  <c r="G13" i="5"/>
  <c r="G12" i="5"/>
  <c r="G4" i="5"/>
  <c r="F7" i="5"/>
  <c r="F10" i="5"/>
  <c r="G19" i="5"/>
  <c r="G3" i="5"/>
  <c r="F16" i="5"/>
  <c r="G10" i="5"/>
  <c r="F8" i="5"/>
  <c r="G11" i="5"/>
  <c r="F18" i="5"/>
  <c r="G18" i="5"/>
  <c r="G17" i="5"/>
  <c r="G9" i="5"/>
  <c r="F9" i="5"/>
  <c r="F4" i="5"/>
  <c r="F17" i="5"/>
  <c r="F15" i="5"/>
  <c r="G16" i="5"/>
  <c r="G8" i="5"/>
  <c r="F14" i="5"/>
  <c r="F5" i="5"/>
  <c r="G15" i="5"/>
  <c r="G7" i="5"/>
  <c r="F6" i="5"/>
  <c r="F19" i="5"/>
  <c r="G6" i="5"/>
  <c r="G5" i="5"/>
  <c r="G3" i="3"/>
  <c r="G12" i="3"/>
  <c r="G9" i="3"/>
  <c r="G15" i="3"/>
  <c r="G10" i="3"/>
  <c r="G13" i="3"/>
  <c r="G11" i="3"/>
  <c r="G17" i="3"/>
  <c r="G14" i="3"/>
  <c r="G18" i="3"/>
  <c r="G19" i="3"/>
  <c r="G16" i="3"/>
  <c r="G5" i="3"/>
  <c r="G7" i="3"/>
  <c r="G4" i="3"/>
  <c r="G8" i="3"/>
  <c r="G6" i="3"/>
  <c r="F9" i="3"/>
  <c r="F8" i="3"/>
  <c r="F4" i="3"/>
  <c r="F19" i="3"/>
  <c r="F12" i="3"/>
  <c r="F16" i="3"/>
  <c r="F15" i="3"/>
  <c r="F17" i="3"/>
  <c r="F13" i="3"/>
  <c r="F3" i="3"/>
  <c r="F7" i="3"/>
  <c r="F14" i="3"/>
  <c r="F11" i="3"/>
  <c r="F6" i="3"/>
  <c r="F10" i="3"/>
  <c r="F5" i="3"/>
  <c r="F18" i="3"/>
  <c r="J12" i="10" l="1"/>
  <c r="I11" i="10"/>
  <c r="I12" i="10" s="1"/>
  <c r="E3" i="7"/>
  <c r="E14" i="7"/>
  <c r="E5" i="7"/>
  <c r="E15" i="7"/>
  <c r="E6" i="7"/>
  <c r="E16" i="7"/>
  <c r="E7" i="7"/>
  <c r="E17" i="7"/>
  <c r="E8" i="7"/>
  <c r="E4" i="7"/>
  <c r="E18" i="7"/>
  <c r="E9" i="7"/>
  <c r="E11" i="7"/>
  <c r="E19" i="7"/>
  <c r="E10" i="7"/>
  <c r="E12" i="7"/>
  <c r="E13" i="7"/>
  <c r="K12" i="10" l="1"/>
</calcChain>
</file>

<file path=xl/sharedStrings.xml><?xml version="1.0" encoding="utf-8"?>
<sst xmlns="http://schemas.openxmlformats.org/spreadsheetml/2006/main" count="103" uniqueCount="43">
  <si>
    <t>S(0)</t>
  </si>
  <si>
    <t>K</t>
  </si>
  <si>
    <t>r</t>
  </si>
  <si>
    <t>q</t>
  </si>
  <si>
    <t>vol</t>
  </si>
  <si>
    <t>T</t>
  </si>
  <si>
    <t>Call</t>
  </si>
  <si>
    <t>Price</t>
  </si>
  <si>
    <t>Delta</t>
  </si>
  <si>
    <t>Gamma</t>
  </si>
  <si>
    <t>Vega</t>
  </si>
  <si>
    <t>Rho</t>
  </si>
  <si>
    <t>epsilon</t>
  </si>
  <si>
    <t>S(0)/T</t>
  </si>
  <si>
    <t>Delta/T</t>
  </si>
  <si>
    <t>Delta approx</t>
  </si>
  <si>
    <t>True value</t>
  </si>
  <si>
    <t>S(0)/K</t>
  </si>
  <si>
    <t>S(0)/V</t>
  </si>
  <si>
    <t>call</t>
  </si>
  <si>
    <t>put</t>
  </si>
  <si>
    <t>call spread price</t>
  </si>
  <si>
    <t>call spread delta</t>
  </si>
  <si>
    <t>K1 delta</t>
  </si>
  <si>
    <t>K2 delta</t>
  </si>
  <si>
    <t>K1 price</t>
  </si>
  <si>
    <t>K2 price</t>
  </si>
  <si>
    <t>K1 gamma</t>
  </si>
  <si>
    <t>K2 gamma</t>
  </si>
  <si>
    <t>call spread gamma</t>
  </si>
  <si>
    <t>K1 vega</t>
  </si>
  <si>
    <t>K2 vega</t>
  </si>
  <si>
    <t>call spread vega</t>
  </si>
  <si>
    <t>TTM</t>
  </si>
  <si>
    <t>spot</t>
  </si>
  <si>
    <t>option price</t>
  </si>
  <si>
    <t>delta</t>
  </si>
  <si>
    <t>change in delta in 
the hedge portfolio</t>
  </si>
  <si>
    <t xml:space="preserve">PnL of the hedge 
portfolio </t>
  </si>
  <si>
    <t xml:space="preserve">PnL of option </t>
  </si>
  <si>
    <t>Total PnL</t>
  </si>
  <si>
    <t>K=100</t>
  </si>
  <si>
    <t>K=120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</si>
</sst>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0" fillId="2" borderId="0" xfId="0" applyNumberFormat="1" applyFill="1"/>
    <xf numFmtId="9" fontId="0" fillId="0" borderId="0" xfId="1" applyFont="1"/>
    <xf numFmtId="164" fontId="0" fillId="2" borderId="0" xfId="0" applyNumberFormat="1" applyFill="1"/>
    <xf numFmtId="0" fontId="0" fillId="0" borderId="0" xfId="0" applyAlignment="1">
      <alignment horizontal="left"/>
    </xf>
    <xf numFmtId="2" fontId="0" fillId="0" borderId="0" xfId="0" applyNumberFormat="1"/>
    <xf numFmtId="167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2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Option Value vs Delta</a:t>
            </a:r>
            <a:r>
              <a:rPr lang="en-SG" baseline="0"/>
              <a:t> approx</a:t>
            </a:r>
            <a:endParaRPr lang="en-SG"/>
          </a:p>
        </c:rich>
      </c:tx>
      <c:layout>
        <c:manualLayout>
          <c:xMode val="edge"/>
          <c:yMode val="edge"/>
          <c:x val="0.31426861331785078"/>
          <c:y val="3.3922136148975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Price!$D$2</c:f>
              <c:strCache>
                <c:ptCount val="1"/>
                <c:pt idx="0">
                  <c:v>True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Price!$C$3:$C$19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Price!$D$3:$D$19</c:f>
              <c:numCache>
                <c:formatCode>0.000</c:formatCode>
                <c:ptCount val="17"/>
                <c:pt idx="0">
                  <c:v>2.6111811907240604E-2</c:v>
                </c:pt>
                <c:pt idx="1">
                  <c:v>8.9401584110823468E-2</c:v>
                </c:pt>
                <c:pt idx="2">
                  <c:v>0.24810989689245078</c:v>
                </c:pt>
                <c:pt idx="3">
                  <c:v>0.58118584627555414</c:v>
                </c:pt>
                <c:pt idx="4">
                  <c:v>1.1859295132104275</c:v>
                </c:pt>
                <c:pt idx="5">
                  <c:v>2.161318033422138</c:v>
                </c:pt>
                <c:pt idx="6">
                  <c:v>3.5891081160547964</c:v>
                </c:pt>
                <c:pt idx="7">
                  <c:v>5.5195410636769733</c:v>
                </c:pt>
                <c:pt idx="8">
                  <c:v>7.9655674554057976</c:v>
                </c:pt>
                <c:pt idx="9">
                  <c:v>10.905593471555495</c:v>
                </c:pt>
                <c:pt idx="10">
                  <c:v>14.292010941409888</c:v>
                </c:pt>
                <c:pt idx="11">
                  <c:v>18.061945659744509</c:v>
                </c:pt>
                <c:pt idx="12">
                  <c:v>22.147298810578143</c:v>
                </c:pt>
                <c:pt idx="13">
                  <c:v>26.482411891513028</c:v>
                </c:pt>
                <c:pt idx="14">
                  <c:v>31.008871615968598</c:v>
                </c:pt>
                <c:pt idx="15">
                  <c:v>35.677761953340045</c:v>
                </c:pt>
                <c:pt idx="16">
                  <c:v>40.450032451908108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D-4AB7-8563-287039EE159A}"/>
            </c:ext>
          </c:extLst>
        </c:ser>
        <c:ser>
          <c:idx val="1"/>
          <c:order val="1"/>
          <c:tx>
            <c:strRef>
              <c:f>Price!$E$2</c:f>
              <c:strCache>
                <c:ptCount val="1"/>
                <c:pt idx="0">
                  <c:v>Delta approx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Price!$C$3:$C$19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Price!$E$3:$E$19</c:f>
              <c:numCache>
                <c:formatCode>0.000</c:formatCode>
                <c:ptCount val="17"/>
                <c:pt idx="0">
                  <c:v>-13.627546053394092</c:v>
                </c:pt>
                <c:pt idx="1">
                  <c:v>-10.928406864794106</c:v>
                </c:pt>
                <c:pt idx="2">
                  <c:v>-8.2292676761941195</c:v>
                </c:pt>
                <c:pt idx="3">
                  <c:v>-5.5301284875941326</c:v>
                </c:pt>
                <c:pt idx="4">
                  <c:v>-2.8309892989941465</c:v>
                </c:pt>
                <c:pt idx="5">
                  <c:v>-0.1318501103941605</c:v>
                </c:pt>
                <c:pt idx="6">
                  <c:v>2.5672890782058255</c:v>
                </c:pt>
                <c:pt idx="7">
                  <c:v>5.2664282668058116</c:v>
                </c:pt>
                <c:pt idx="8">
                  <c:v>7.9655674554057976</c:v>
                </c:pt>
                <c:pt idx="9">
                  <c:v>10.664706644005783</c:v>
                </c:pt>
                <c:pt idx="10">
                  <c:v>13.363845832605769</c:v>
                </c:pt>
                <c:pt idx="11">
                  <c:v>16.062985021205755</c:v>
                </c:pt>
                <c:pt idx="12">
                  <c:v>18.762124209805741</c:v>
                </c:pt>
                <c:pt idx="13">
                  <c:v>21.461263398405727</c:v>
                </c:pt>
                <c:pt idx="14">
                  <c:v>24.160402587005713</c:v>
                </c:pt>
                <c:pt idx="15">
                  <c:v>26.859541775605699</c:v>
                </c:pt>
                <c:pt idx="16">
                  <c:v>29.558680964205685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75-41AB-A4C2-D26C94F49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4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Call</a:t>
            </a:r>
            <a:r>
              <a:rPr lang="en-SG" baseline="0"/>
              <a:t> </a:t>
            </a:r>
            <a:r>
              <a:rPr lang="en-SG"/>
              <a:t>Delta, r=q=0, vol=0.2, K=100, with different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Delta!$H$2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Delta!$H$3:$H$19</c:f>
              <c:numCache>
                <c:formatCode>0.0</c:formatCode>
                <c:ptCount val="17"/>
                <c:pt idx="0">
                  <c:v>2.1074121738706775E-59</c:v>
                </c:pt>
                <c:pt idx="1">
                  <c:v>5.8722557714026929E-30</c:v>
                </c:pt>
                <c:pt idx="2">
                  <c:v>1.5509465988538267E-17</c:v>
                </c:pt>
                <c:pt idx="3">
                  <c:v>7.3506503760916561E-11</c:v>
                </c:pt>
                <c:pt idx="4">
                  <c:v>6.806793744588183E-7</c:v>
                </c:pt>
                <c:pt idx="5">
                  <c:v>1.9902600926238702E-4</c:v>
                </c:pt>
                <c:pt idx="6">
                  <c:v>7.1158365574572335E-3</c:v>
                </c:pt>
                <c:pt idx="7">
                  <c:v>6.588578555843938E-2</c:v>
                </c:pt>
                <c:pt idx="8">
                  <c:v>0.25006008822270331</c:v>
                </c:pt>
                <c:pt idx="9">
                  <c:v>0.52818598885728818</c:v>
                </c:pt>
                <c:pt idx="10">
                  <c:v>0.77175997303058352</c:v>
                </c:pt>
                <c:pt idx="11">
                  <c:v>0.91307218472280738</c:v>
                </c:pt>
                <c:pt idx="12">
                  <c:v>0.97294195548158768</c:v>
                </c:pt>
                <c:pt idx="13">
                  <c:v>0.99285577437768779</c:v>
                </c:pt>
                <c:pt idx="14">
                  <c:v>0.99834715285851416</c:v>
                </c:pt>
                <c:pt idx="15">
                  <c:v>0.99965577536664796</c:v>
                </c:pt>
                <c:pt idx="16">
                  <c:v>0.99993403274822867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D-4342-9511-7EACDC46E539}"/>
            </c:ext>
          </c:extLst>
        </c:ser>
        <c:ser>
          <c:idx val="1"/>
          <c:order val="1"/>
          <c:tx>
            <c:strRef>
              <c:f>Delta!$I$2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Delta!$I$3:$I$19</c:f>
              <c:numCache>
                <c:formatCode>0.0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B2-4FF8-8822-C63BFCDA8FFD}"/>
            </c:ext>
          </c:extLst>
        </c:ser>
        <c:ser>
          <c:idx val="2"/>
          <c:order val="2"/>
          <c:tx>
            <c:strRef>
              <c:f>Delta!$J$2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Delta!$J$3:$J$19</c:f>
              <c:numCache>
                <c:formatCode>0.0</c:formatCode>
                <c:ptCount val="17"/>
                <c:pt idx="0">
                  <c:v>6.2489965559876438E-16</c:v>
                </c:pt>
                <c:pt idx="1">
                  <c:v>1.4381771034952595E-8</c:v>
                </c:pt>
                <c:pt idx="2">
                  <c:v>1.9336715512962579E-5</c:v>
                </c:pt>
                <c:pt idx="3">
                  <c:v>9.7364580934570372E-4</c:v>
                </c:pt>
                <c:pt idx="4">
                  <c:v>1.0465577152847516E-2</c:v>
                </c:pt>
                <c:pt idx="5">
                  <c:v>4.7994300642895116E-2</c:v>
                </c:pt>
                <c:pt idx="6">
                  <c:v>0.13143893004219365</c:v>
                </c:pt>
                <c:pt idx="7">
                  <c:v>0.25865088618903798</c:v>
                </c:pt>
                <c:pt idx="8">
                  <c:v>0.40862464854019009</c:v>
                </c:pt>
                <c:pt idx="9">
                  <c:v>0.55623145800431928</c:v>
                </c:pt>
                <c:pt idx="10">
                  <c:v>0.683815001831789</c:v>
                </c:pt>
                <c:pt idx="11">
                  <c:v>0.78407369729305287</c:v>
                </c:pt>
                <c:pt idx="12">
                  <c:v>0.85746947046771993</c:v>
                </c:pt>
                <c:pt idx="13">
                  <c:v>0.90841048876910691</c:v>
                </c:pt>
                <c:pt idx="14">
                  <c:v>0.94236681420056811</c:v>
                </c:pt>
                <c:pt idx="15">
                  <c:v>0.96431650199235719</c:v>
                </c:pt>
                <c:pt idx="16">
                  <c:v>0.97817704386216064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B2-4FF8-8822-C63BFCDA8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Put</a:t>
            </a:r>
            <a:r>
              <a:rPr lang="en-SG" baseline="0"/>
              <a:t> </a:t>
            </a:r>
            <a:r>
              <a:rPr lang="en-SG"/>
              <a:t>Delta, r=q=0, vol=0.2, K=100, with different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Delta!$H$2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Delta!$H$23:$H$39</c:f>
              <c:numCache>
                <c:formatCode>0.0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-0.99999999992649347</c:v>
                </c:pt>
                <c:pt idx="4">
                  <c:v>-0.99999931932062558</c:v>
                </c:pt>
                <c:pt idx="5">
                  <c:v>-0.99980097399073764</c:v>
                </c:pt>
                <c:pt idx="6">
                  <c:v>-0.99288416344254271</c:v>
                </c:pt>
                <c:pt idx="7">
                  <c:v>-0.93411421444156062</c:v>
                </c:pt>
                <c:pt idx="8">
                  <c:v>-0.74993991177729669</c:v>
                </c:pt>
                <c:pt idx="9">
                  <c:v>-0.47181401114271182</c:v>
                </c:pt>
                <c:pt idx="10">
                  <c:v>-0.22824002696941648</c:v>
                </c:pt>
                <c:pt idx="11">
                  <c:v>-8.6927815277192622E-2</c:v>
                </c:pt>
                <c:pt idx="12">
                  <c:v>-2.7058044518412316E-2</c:v>
                </c:pt>
                <c:pt idx="13">
                  <c:v>-7.1442256223122058E-3</c:v>
                </c:pt>
                <c:pt idx="14">
                  <c:v>-1.6528471414858359E-3</c:v>
                </c:pt>
                <c:pt idx="15">
                  <c:v>-3.4422463335204156E-4</c:v>
                </c:pt>
                <c:pt idx="16">
                  <c:v>-6.5967251771326119E-5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1C-40A8-AB77-5C54F5D90538}"/>
            </c:ext>
          </c:extLst>
        </c:ser>
        <c:ser>
          <c:idx val="1"/>
          <c:order val="1"/>
          <c:tx>
            <c:strRef>
              <c:f>Delta!$I$2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Delta!$E$23:$E$39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Delta!$I$23:$I$39</c:f>
              <c:numCache>
                <c:formatCode>0.0</c:formatCode>
                <c:ptCount val="17"/>
                <c:pt idx="0">
                  <c:v>-1</c:v>
                </c:pt>
                <c:pt idx="1">
                  <c:v>-0.999999999999999</c:v>
                </c:pt>
                <c:pt idx="2">
                  <c:v>-0.99999999838896048</c:v>
                </c:pt>
                <c:pt idx="3">
                  <c:v>-0.99999629318340411</c:v>
                </c:pt>
                <c:pt idx="4">
                  <c:v>-0.99961830120129525</c:v>
                </c:pt>
                <c:pt idx="5">
                  <c:v>-0.99293866726386004</c:v>
                </c:pt>
                <c:pt idx="6">
                  <c:v>-0.95384871300171947</c:v>
                </c:pt>
                <c:pt idx="7">
                  <c:v>-0.84511809504539315</c:v>
                </c:pt>
                <c:pt idx="8">
                  <c:v>-0.66523843579979669</c:v>
                </c:pt>
                <c:pt idx="9">
                  <c:v>-0.46017216275961914</c:v>
                </c:pt>
                <c:pt idx="10">
                  <c:v>-0.28212143818662128</c:v>
                </c:pt>
                <c:pt idx="11">
                  <c:v>-0.15586281131751889</c:v>
                </c:pt>
                <c:pt idx="12">
                  <c:v>-7.9001289210566483E-2</c:v>
                </c:pt>
                <c:pt idx="13">
                  <c:v>-3.7345175523228136E-2</c:v>
                </c:pt>
                <c:pt idx="14">
                  <c:v>-1.6696521962899169E-2</c:v>
                </c:pt>
                <c:pt idx="15">
                  <c:v>-7.1424507931396874E-3</c:v>
                </c:pt>
                <c:pt idx="16">
                  <c:v>-2.9513211453604526E-3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1C-40A8-AB77-5C54F5D90538}"/>
            </c:ext>
          </c:extLst>
        </c:ser>
        <c:ser>
          <c:idx val="2"/>
          <c:order val="2"/>
          <c:tx>
            <c:strRef>
              <c:f>Delta!$J$2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Delta!$E$23:$E$39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Delta!$J$23:$J$39</c:f>
              <c:numCache>
                <c:formatCode>0.0</c:formatCode>
                <c:ptCount val="17"/>
                <c:pt idx="0">
                  <c:v>-0.99999999999999933</c:v>
                </c:pt>
                <c:pt idx="1">
                  <c:v>-0.999999985618229</c:v>
                </c:pt>
                <c:pt idx="2">
                  <c:v>-0.99998066328448709</c:v>
                </c:pt>
                <c:pt idx="3">
                  <c:v>-0.99902635419065433</c:v>
                </c:pt>
                <c:pt idx="4">
                  <c:v>-0.98953442284715254</c:v>
                </c:pt>
                <c:pt idx="5">
                  <c:v>-0.95200569935710488</c:v>
                </c:pt>
                <c:pt idx="6">
                  <c:v>-0.86856106995780635</c:v>
                </c:pt>
                <c:pt idx="7">
                  <c:v>-0.74134911381096202</c:v>
                </c:pt>
                <c:pt idx="8">
                  <c:v>-0.59137535145980991</c:v>
                </c:pt>
                <c:pt idx="9">
                  <c:v>-0.44376854199568072</c:v>
                </c:pt>
                <c:pt idx="10">
                  <c:v>-0.316184998168211</c:v>
                </c:pt>
                <c:pt idx="11">
                  <c:v>-0.21592630270694713</c:v>
                </c:pt>
                <c:pt idx="12">
                  <c:v>-0.14253052953228007</c:v>
                </c:pt>
                <c:pt idx="13">
                  <c:v>-9.1589511230893095E-2</c:v>
                </c:pt>
                <c:pt idx="14">
                  <c:v>-5.7633185799431885E-2</c:v>
                </c:pt>
                <c:pt idx="15">
                  <c:v>-3.5683498007642811E-2</c:v>
                </c:pt>
                <c:pt idx="16">
                  <c:v>-2.1822956137839356E-2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1C-40A8-AB77-5C54F5D90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Call</a:t>
            </a:r>
            <a:r>
              <a:rPr lang="en-SG" baseline="0"/>
              <a:t> </a:t>
            </a:r>
            <a:r>
              <a:rPr lang="en-SG"/>
              <a:t>Delta, r=q=0, vol=0.2, T=1, with</a:t>
            </a:r>
            <a:r>
              <a:rPr lang="en-SG" baseline="0"/>
              <a:t> different K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Delta!$F$43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Delta!$E$44:$E$60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Delta!$F$44:$F$60</c:f>
              <c:numCache>
                <c:formatCode>0.0</c:formatCode>
                <c:ptCount val="17"/>
                <c:pt idx="0">
                  <c:v>3.6268132353436671E-25</c:v>
                </c:pt>
                <c:pt idx="1">
                  <c:v>4.2023906119561423E-12</c:v>
                </c:pt>
                <c:pt idx="2">
                  <c:v>7.7706596615995724E-7</c:v>
                </c:pt>
                <c:pt idx="3">
                  <c:v>3.8169879865493622E-4</c:v>
                </c:pt>
                <c:pt idx="4">
                  <c:v>1.2223896713042803E-2</c:v>
                </c:pt>
                <c:pt idx="5">
                  <c:v>9.0381351418866718E-2</c:v>
                </c:pt>
                <c:pt idx="6">
                  <c:v>0.28513395994522739</c:v>
                </c:pt>
                <c:pt idx="7">
                  <c:v>0.53982783731143513</c:v>
                </c:pt>
                <c:pt idx="8">
                  <c:v>0.7545616764392804</c:v>
                </c:pt>
                <c:pt idx="9">
                  <c:v>0.88795377124029073</c:v>
                </c:pt>
                <c:pt idx="10">
                  <c:v>0.95470261941343892</c:v>
                </c:pt>
                <c:pt idx="11">
                  <c:v>0.98330347800157369</c:v>
                </c:pt>
                <c:pt idx="12">
                  <c:v>0.99425674804365372</c:v>
                </c:pt>
                <c:pt idx="13">
                  <c:v>0.9981227196931286</c:v>
                </c:pt>
                <c:pt idx="14">
                  <c:v>0.99940869880299488</c:v>
                </c:pt>
                <c:pt idx="15">
                  <c:v>0.99981858170394844</c:v>
                </c:pt>
                <c:pt idx="16">
                  <c:v>0.99994532710923067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D6-4501-B47A-AFE10245B8DD}"/>
            </c:ext>
          </c:extLst>
        </c:ser>
        <c:ser>
          <c:idx val="1"/>
          <c:order val="1"/>
          <c:tx>
            <c:strRef>
              <c:f>Delta!$G$43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Delta!$E$44:$E$60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Delta!$G$44:$G$60</c:f>
              <c:numCache>
                <c:formatCode>0.0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D6-4501-B47A-AFE10245B8DD}"/>
            </c:ext>
          </c:extLst>
        </c:ser>
        <c:ser>
          <c:idx val="2"/>
          <c:order val="2"/>
          <c:tx>
            <c:strRef>
              <c:f>Delta!$H$43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Delta!$E$44:$E$60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Delta!$H$44:$H$60</c:f>
              <c:numCache>
                <c:formatCode>0.0</c:formatCode>
                <c:ptCount val="17"/>
                <c:pt idx="0">
                  <c:v>3.3414655358202205E-35</c:v>
                </c:pt>
                <c:pt idx="1">
                  <c:v>4.0441125327795341E-19</c:v>
                </c:pt>
                <c:pt idx="2">
                  <c:v>4.202390599994739E-12</c:v>
                </c:pt>
                <c:pt idx="3">
                  <c:v>3.4633626708631957E-8</c:v>
                </c:pt>
                <c:pt idx="4">
                  <c:v>9.456833915266619E-6</c:v>
                </c:pt>
                <c:pt idx="5">
                  <c:v>3.8169879861644704E-4</c:v>
                </c:pt>
                <c:pt idx="6">
                  <c:v>4.7297867145773553E-3</c:v>
                </c:pt>
                <c:pt idx="7">
                  <c:v>2.6969536286863827E-2</c:v>
                </c:pt>
                <c:pt idx="8">
                  <c:v>9.038135141803405E-2</c:v>
                </c:pt>
                <c:pt idx="9">
                  <c:v>0.20850836163432973</c:v>
                </c:pt>
                <c:pt idx="10">
                  <c:v>0.36879108786358472</c:v>
                </c:pt>
                <c:pt idx="11">
                  <c:v>0.53982783725814443</c:v>
                </c:pt>
                <c:pt idx="12">
                  <c:v>0.69153763685214642</c:v>
                </c:pt>
                <c:pt idx="13">
                  <c:v>0.80805559250052283</c:v>
                </c:pt>
                <c:pt idx="14">
                  <c:v>0.88795377129358144</c:v>
                </c:pt>
                <c:pt idx="15">
                  <c:v>0.93802584487434615</c:v>
                </c:pt>
                <c:pt idx="16">
                  <c:v>0.96722828985207343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D6-4501-B47A-AFE10245B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Call</a:t>
            </a:r>
            <a:r>
              <a:rPr lang="en-SG" baseline="0"/>
              <a:t> </a:t>
            </a:r>
            <a:r>
              <a:rPr lang="en-SG"/>
              <a:t>Delta, r=q=0,  K=100, T=1, with</a:t>
            </a:r>
            <a:r>
              <a:rPr lang="en-SG" baseline="0"/>
              <a:t> different vol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Delta!$F$64</c:f>
              <c:strCache>
                <c:ptCount val="1"/>
                <c:pt idx="0">
                  <c:v>0.2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Delta!$E$65:$E$81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Delta!$F$65:$F$81</c:f>
              <c:numCache>
                <c:formatCode>0.0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34-4A63-A588-0284B570518D}"/>
            </c:ext>
          </c:extLst>
        </c:ser>
        <c:ser>
          <c:idx val="1"/>
          <c:order val="1"/>
          <c:tx>
            <c:strRef>
              <c:f>Delta!$G$64</c:f>
              <c:strCache>
                <c:ptCount val="1"/>
                <c:pt idx="0">
                  <c:v>0.3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Delta!$E$65:$E$81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Delta!$G$65:$G$81</c:f>
              <c:numCache>
                <c:formatCode>0.0</c:formatCode>
                <c:ptCount val="17"/>
                <c:pt idx="0">
                  <c:v>2.6302998592953675E-14</c:v>
                </c:pt>
                <c:pt idx="1">
                  <c:v>9.2011287452209819E-8</c:v>
                </c:pt>
                <c:pt idx="2">
                  <c:v>5.5945874538075916E-5</c:v>
                </c:pt>
                <c:pt idx="3">
                  <c:v>1.8403620771507284E-3</c:v>
                </c:pt>
                <c:pt idx="4">
                  <c:v>1.5367355189477294E-2</c:v>
                </c:pt>
                <c:pt idx="5">
                  <c:v>6.0241187574416877E-2</c:v>
                </c:pt>
                <c:pt idx="6">
                  <c:v>0.14942179066168571</c:v>
                </c:pt>
                <c:pt idx="7">
                  <c:v>0.27631898531055299</c:v>
                </c:pt>
                <c:pt idx="8">
                  <c:v>0.4202704237687982</c:v>
                </c:pt>
                <c:pt idx="9">
                  <c:v>0.55961769239054604</c:v>
                </c:pt>
                <c:pt idx="10">
                  <c:v>0.68000064382900405</c:v>
                </c:pt>
                <c:pt idx="11">
                  <c:v>0.77569623377016228</c:v>
                </c:pt>
                <c:pt idx="12">
                  <c:v>0.8472116378399619</c:v>
                </c:pt>
                <c:pt idx="13">
                  <c:v>0.89823776196595873</c:v>
                </c:pt>
                <c:pt idx="14">
                  <c:v>0.9333933643773662</c:v>
                </c:pt>
                <c:pt idx="15">
                  <c:v>0.95698105880615003</c:v>
                </c:pt>
                <c:pt idx="16">
                  <c:v>0.97249269593646659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4-4A63-A588-0284B570518D}"/>
            </c:ext>
          </c:extLst>
        </c:ser>
        <c:ser>
          <c:idx val="2"/>
          <c:order val="2"/>
          <c:tx>
            <c:strRef>
              <c:f>Delta!$H$64</c:f>
              <c:strCache>
                <c:ptCount val="1"/>
                <c:pt idx="0">
                  <c:v>0.4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Delta!$E$65:$E$81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Delta!$H$65:$H$81</c:f>
              <c:numCache>
                <c:formatCode>0.0</c:formatCode>
                <c:ptCount val="17"/>
                <c:pt idx="0">
                  <c:v>1.3764823268804501E-8</c:v>
                </c:pt>
                <c:pt idx="1">
                  <c:v>6.5760000331920899E-5</c:v>
                </c:pt>
                <c:pt idx="2">
                  <c:v>2.4775983284864439E-3</c:v>
                </c:pt>
                <c:pt idx="3">
                  <c:v>1.827627925020392E-2</c:v>
                </c:pt>
                <c:pt idx="4">
                  <c:v>6.2654196885392199E-2</c:v>
                </c:pt>
                <c:pt idx="5">
                  <c:v>0.14072582407709255</c:v>
                </c:pt>
                <c:pt idx="6">
                  <c:v>0.24456684333040712</c:v>
                </c:pt>
                <c:pt idx="7">
                  <c:v>0.36022446291639199</c:v>
                </c:pt>
                <c:pt idx="8">
                  <c:v>0.47472348039256929</c:v>
                </c:pt>
                <c:pt idx="9">
                  <c:v>0.57925970946115513</c:v>
                </c:pt>
                <c:pt idx="10">
                  <c:v>0.66940668979498241</c:v>
                </c:pt>
                <c:pt idx="11">
                  <c:v>0.74402484406377312</c:v>
                </c:pt>
                <c:pt idx="12">
                  <c:v>0.80397640125795533</c:v>
                </c:pt>
                <c:pt idx="13">
                  <c:v>0.85110412928912638</c:v>
                </c:pt>
                <c:pt idx="14">
                  <c:v>0.88756173667547955</c:v>
                </c:pt>
                <c:pt idx="15">
                  <c:v>0.91543568409235831</c:v>
                </c:pt>
                <c:pt idx="16">
                  <c:v>0.93656609230663435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34-4A63-A588-0284B5705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Gamma, r=q=0, vol=0.2, K=100, with different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Gamma!$F$2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Gamma!$F$3:$F$19</c:f>
              <c:numCache>
                <c:formatCode>0.000</c:formatCode>
                <c:ptCount val="17"/>
                <c:pt idx="0">
                  <c:v>0</c:v>
                </c:pt>
                <c:pt idx="1">
                  <c:v>5.7748046778352594E-282</c:v>
                </c:pt>
                <c:pt idx="2">
                  <c:v>2.2472889627451237E-158</c:v>
                </c:pt>
                <c:pt idx="3">
                  <c:v>2.45478075042644E-92</c:v>
                </c:pt>
                <c:pt idx="4">
                  <c:v>1.7270728893916726E-53</c:v>
                </c:pt>
                <c:pt idx="5">
                  <c:v>8.9446700826652461E-30</c:v>
                </c:pt>
                <c:pt idx="6">
                  <c:v>2.3454574631228807E-15</c:v>
                </c:pt>
                <c:pt idx="7">
                  <c:v>4.891485912580671E-7</c:v>
                </c:pt>
                <c:pt idx="8">
                  <c:v>6.5112441046538683E-3</c:v>
                </c:pt>
                <c:pt idx="9">
                  <c:v>8.9183876950116314E-2</c:v>
                </c:pt>
                <c:pt idx="10">
                  <c:v>7.97863997092918E-3</c:v>
                </c:pt>
                <c:pt idx="11">
                  <c:v>1.6964207816272392E-5</c:v>
                </c:pt>
                <c:pt idx="12">
                  <c:v>3.5527136788005009E-7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CF-43DA-BBB3-848C19A05FE2}"/>
            </c:ext>
          </c:extLst>
        </c:ser>
        <c:ser>
          <c:idx val="1"/>
          <c:order val="1"/>
          <c:tx>
            <c:strRef>
              <c:f>Gamma!$G$2</c:f>
              <c:strCache>
                <c:ptCount val="1"/>
                <c:pt idx="0">
                  <c:v>0.1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Gamma!$G$3:$G$19</c:f>
              <c:numCache>
                <c:formatCode>0.000</c:formatCode>
                <c:ptCount val="17"/>
                <c:pt idx="0">
                  <c:v>2.9959237042558384E-288</c:v>
                </c:pt>
                <c:pt idx="1">
                  <c:v>1.6963420968769406E-141</c:v>
                </c:pt>
                <c:pt idx="2">
                  <c:v>7.8074067314318134E-80</c:v>
                </c:pt>
                <c:pt idx="3">
                  <c:v>6.5762916824530285E-47</c:v>
                </c:pt>
                <c:pt idx="4">
                  <c:v>1.4755245153049012E-27</c:v>
                </c:pt>
                <c:pt idx="5">
                  <c:v>9.2615444267124894E-16</c:v>
                </c:pt>
                <c:pt idx="6">
                  <c:v>1.3360382157400445E-8</c:v>
                </c:pt>
                <c:pt idx="7">
                  <c:v>1.7454937641754251E-4</c:v>
                </c:pt>
                <c:pt idx="8">
                  <c:v>1.84361505228825E-2</c:v>
                </c:pt>
                <c:pt idx="9">
                  <c:v>6.3046767806440585E-2</c:v>
                </c:pt>
                <c:pt idx="10">
                  <c:v>1.755648959544942E-2</c:v>
                </c:pt>
                <c:pt idx="11">
                  <c:v>7.5148776090827596E-4</c:v>
                </c:pt>
                <c:pt idx="12">
                  <c:v>7.9047879353311146E-6</c:v>
                </c:pt>
                <c:pt idx="13">
                  <c:v>-3.5527136788005009E-7</c:v>
                </c:pt>
                <c:pt idx="14">
                  <c:v>7.1054273576010019E-7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3-4609-A955-B88B40AE55A2}"/>
            </c:ext>
          </c:extLst>
        </c:ser>
        <c:ser>
          <c:idx val="2"/>
          <c:order val="2"/>
          <c:tx>
            <c:strRef>
              <c:f>Gamma!$H$2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Gamma!$H$3:$H$19</c:f>
              <c:numCache>
                <c:formatCode>0.000</c:formatCode>
                <c:ptCount val="17"/>
                <c:pt idx="0">
                  <c:v>1.7941796862956681E-15</c:v>
                </c:pt>
                <c:pt idx="1">
                  <c:v>1.4539401107011728E-8</c:v>
                </c:pt>
                <c:pt idx="2">
                  <c:v>9.8802410548296145E-6</c:v>
                </c:pt>
                <c:pt idx="3">
                  <c:v>2.9040669608654257E-4</c:v>
                </c:pt>
                <c:pt idx="4">
                  <c:v>1.9608949880511872E-3</c:v>
                </c:pt>
                <c:pt idx="5">
                  <c:v>5.8816951309381693E-3</c:v>
                </c:pt>
                <c:pt idx="6">
                  <c:v>1.076609357220093E-2</c:v>
                </c:pt>
                <c:pt idx="7">
                  <c:v>1.4296330785867895E-2</c:v>
                </c:pt>
                <c:pt idx="8">
                  <c:v>1.5259216112895047E-2</c:v>
                </c:pt>
                <c:pt idx="9">
                  <c:v>1.3963985523446354E-2</c:v>
                </c:pt>
                <c:pt idx="10">
                  <c:v>1.1436540603426693E-2</c:v>
                </c:pt>
                <c:pt idx="11">
                  <c:v>8.6298079793323268E-3</c:v>
                </c:pt>
                <c:pt idx="12">
                  <c:v>6.127365281827224E-3</c:v>
                </c:pt>
                <c:pt idx="13">
                  <c:v>4.1548986473571858E-3</c:v>
                </c:pt>
                <c:pt idx="14">
                  <c:v>2.7201352281736035E-3</c:v>
                </c:pt>
                <c:pt idx="15">
                  <c:v>1.7351453607261647E-3</c:v>
                </c:pt>
                <c:pt idx="16">
                  <c:v>1.0835776720341528E-3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03-4609-A955-B88B40AE5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Gamma, r=q=0, T=0.5, K=100, with different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Gamma!$F$21</c:f>
              <c:strCache>
                <c:ptCount val="1"/>
                <c:pt idx="0">
                  <c:v>10%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Gamma!$E$22:$E$38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Gamma!$F$22:$F$38</c:f>
              <c:numCache>
                <c:formatCode>0.000</c:formatCode>
                <c:ptCount val="17"/>
                <c:pt idx="0">
                  <c:v>9.8321522090917956E-231</c:v>
                </c:pt>
                <c:pt idx="1">
                  <c:v>2.0170986127387066E-113</c:v>
                </c:pt>
                <c:pt idx="2">
                  <c:v>3.8219811886467721E-64</c:v>
                </c:pt>
                <c:pt idx="3">
                  <c:v>7.6770063623497173E-38</c:v>
                </c:pt>
                <c:pt idx="4">
                  <c:v>2.1721279086192902E-22</c:v>
                </c:pt>
                <c:pt idx="5">
                  <c:v>5.6405941248421691E-13</c:v>
                </c:pt>
                <c:pt idx="6">
                  <c:v>2.8743809616934996E-7</c:v>
                </c:pt>
                <c:pt idx="7">
                  <c:v>5.4204760254958351E-4</c:v>
                </c:pt>
                <c:pt idx="8">
                  <c:v>2.1761591834090765E-2</c:v>
                </c:pt>
                <c:pt idx="9">
                  <c:v>5.6383497870626798E-2</c:v>
                </c:pt>
                <c:pt idx="10">
                  <c:v>1.9703660925074473E-2</c:v>
                </c:pt>
                <c:pt idx="11">
                  <c:v>1.5441870004906377E-3</c:v>
                </c:pt>
                <c:pt idx="12">
                  <c:v>3.9168668308775523E-5</c:v>
                </c:pt>
                <c:pt idx="13">
                  <c:v>5.3290705182007514E-7</c:v>
                </c:pt>
                <c:pt idx="14">
                  <c:v>-1.7763568394002505E-7</c:v>
                </c:pt>
                <c:pt idx="15">
                  <c:v>-3.5527136788005009E-7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CF-4B49-937A-C3303A68CAFE}"/>
            </c:ext>
          </c:extLst>
        </c:ser>
        <c:ser>
          <c:idx val="1"/>
          <c:order val="1"/>
          <c:tx>
            <c:strRef>
              <c:f>Gamma!$G$21</c:f>
              <c:strCache>
                <c:ptCount val="1"/>
                <c:pt idx="0">
                  <c:v>20%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Gamma!$E$22:$E$38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Gamma!$G$22:$G$38</c:f>
              <c:numCache>
                <c:formatCode>0.000</c:formatCode>
                <c:ptCount val="17"/>
                <c:pt idx="0">
                  <c:v>2.4248338490943682E-58</c:v>
                </c:pt>
                <c:pt idx="1">
                  <c:v>2.366156075962734E-29</c:v>
                </c:pt>
                <c:pt idx="2">
                  <c:v>3.1284833750017458E-17</c:v>
                </c:pt>
                <c:pt idx="3">
                  <c:v>8.5212691610568368E-11</c:v>
                </c:pt>
                <c:pt idx="4">
                  <c:v>4.8350221404513277E-7</c:v>
                </c:pt>
                <c:pt idx="5">
                  <c:v>8.8907711488089847E-5</c:v>
                </c:pt>
                <c:pt idx="6">
                  <c:v>1.9971889593517478E-3</c:v>
                </c:pt>
                <c:pt idx="7">
                  <c:v>1.1325369808634633E-2</c:v>
                </c:pt>
                <c:pt idx="8">
                  <c:v>2.4969981637923411E-2</c:v>
                </c:pt>
                <c:pt idx="9">
                  <c:v>2.813920207955789E-2</c:v>
                </c:pt>
                <c:pt idx="10">
                  <c:v>1.943458727282632E-2</c:v>
                </c:pt>
                <c:pt idx="11">
                  <c:v>9.3249852284316148E-3</c:v>
                </c:pt>
                <c:pt idx="12">
                  <c:v>3.3966607304591889E-3</c:v>
                </c:pt>
                <c:pt idx="13">
                  <c:v>1.0018652574217413E-3</c:v>
                </c:pt>
                <c:pt idx="14">
                  <c:v>2.5188739982695552E-4</c:v>
                </c:pt>
                <c:pt idx="15">
                  <c:v>5.5422333389287814E-5</c:v>
                </c:pt>
                <c:pt idx="16">
                  <c:v>1.0658141036401503E-5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CF-4B49-937A-C3303A68CAFE}"/>
            </c:ext>
          </c:extLst>
        </c:ser>
        <c:ser>
          <c:idx val="2"/>
          <c:order val="2"/>
          <c:tx>
            <c:strRef>
              <c:f>Gamma!$H$21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Gamma!$E$22:$E$38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Gamma!$H$22:$H$38</c:f>
              <c:numCache>
                <c:formatCode>0.000</c:formatCode>
                <c:ptCount val="17"/>
                <c:pt idx="0">
                  <c:v>1.7941796862956681E-15</c:v>
                </c:pt>
                <c:pt idx="1">
                  <c:v>1.4539401107011728E-8</c:v>
                </c:pt>
                <c:pt idx="2">
                  <c:v>9.8802410548296145E-6</c:v>
                </c:pt>
                <c:pt idx="3">
                  <c:v>2.9040669608654257E-4</c:v>
                </c:pt>
                <c:pt idx="4">
                  <c:v>1.9608949880511872E-3</c:v>
                </c:pt>
                <c:pt idx="5">
                  <c:v>5.8816951309381693E-3</c:v>
                </c:pt>
                <c:pt idx="6">
                  <c:v>1.076609357220093E-2</c:v>
                </c:pt>
                <c:pt idx="7">
                  <c:v>1.4296330785867895E-2</c:v>
                </c:pt>
                <c:pt idx="8">
                  <c:v>1.5259216112895047E-2</c:v>
                </c:pt>
                <c:pt idx="9">
                  <c:v>1.3963985523446354E-2</c:v>
                </c:pt>
                <c:pt idx="10">
                  <c:v>1.1436540603426693E-2</c:v>
                </c:pt>
                <c:pt idx="11">
                  <c:v>8.6298079793323268E-3</c:v>
                </c:pt>
                <c:pt idx="12">
                  <c:v>6.127365281827224E-3</c:v>
                </c:pt>
                <c:pt idx="13">
                  <c:v>4.1548986473571858E-3</c:v>
                </c:pt>
                <c:pt idx="14">
                  <c:v>2.7201352281736035E-3</c:v>
                </c:pt>
                <c:pt idx="15">
                  <c:v>1.7351453607261647E-3</c:v>
                </c:pt>
                <c:pt idx="16">
                  <c:v>1.0835776720341528E-3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CF-4B49-937A-C3303A68C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Vega, r=q=0, vol=0.2, K=100, different 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Vega!$F$2</c:f>
              <c:strCache>
                <c:ptCount val="1"/>
                <c:pt idx="0">
                  <c:v>0.1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Vega!$E$3:$E$29</c:f>
              <c:numCache>
                <c:formatCode>General</c:formatCode>
                <c:ptCount val="27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</c:numCache>
            </c:numRef>
          </c:xVal>
          <c:yVal>
            <c:numRef>
              <c:f>Vega!$F$3:$F$29</c:f>
              <c:numCache>
                <c:formatCode>0.0</c:formatCode>
                <c:ptCount val="27"/>
                <c:pt idx="0">
                  <c:v>7.3819455158351319E-26</c:v>
                </c:pt>
                <c:pt idx="1">
                  <c:v>3.7018174319244678E-19</c:v>
                </c:pt>
                <c:pt idx="2">
                  <c:v>6.6694307589900673E-14</c:v>
                </c:pt>
                <c:pt idx="3">
                  <c:v>8.5697825162742815E-10</c:v>
                </c:pt>
                <c:pt idx="4">
                  <c:v>1.3093402778473881E-6</c:v>
                </c:pt>
                <c:pt idx="5">
                  <c:v>3.510757547060996E-4</c:v>
                </c:pt>
                <c:pt idx="6">
                  <c:v>2.2342639712611832E-2</c:v>
                </c:pt>
                <c:pt idx="7">
                  <c:v>0.42811232622806672</c:v>
                </c:pt>
                <c:pt idx="8">
                  <c:v>2.9866550229244031</c:v>
                </c:pt>
                <c:pt idx="9">
                  <c:v>8.8455732722980684</c:v>
                </c:pt>
                <c:pt idx="10">
                  <c:v>12.609356355000045</c:v>
                </c:pt>
                <c:pt idx="11">
                  <c:v>9.5953068935772379</c:v>
                </c:pt>
                <c:pt idx="12">
                  <c:v>4.2486034552258189</c:v>
                </c:pt>
                <c:pt idx="13">
                  <c:v>1.1766193783735446</c:v>
                </c:pt>
                <c:pt idx="14">
                  <c:v>0.21663485549439088</c:v>
                </c:pt>
                <c:pt idx="15">
                  <c:v>2.7928299619617292E-2</c:v>
                </c:pt>
                <c:pt idx="16">
                  <c:v>2.6353362692077553E-3</c:v>
                </c:pt>
                <c:pt idx="17">
                  <c:v>1.8908078658341765E-4</c:v>
                </c:pt>
                <c:pt idx="18">
                  <c:v>1.0660237137471995E-5</c:v>
                </c:pt>
                <c:pt idx="19">
                  <c:v>4.8586912271275651E-7</c:v>
                </c:pt>
                <c:pt idx="20">
                  <c:v>1.836752971939859E-8</c:v>
                </c:pt>
                <c:pt idx="21">
                  <c:v>5.6843418860808015E-10</c:v>
                </c:pt>
                <c:pt idx="22">
                  <c:v>0</c:v>
                </c:pt>
                <c:pt idx="23">
                  <c:v>-1.4210854715202004E-10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7-4B6F-A66C-E9DBB12C73CA}"/>
            </c:ext>
          </c:extLst>
        </c:ser>
        <c:ser>
          <c:idx val="1"/>
          <c:order val="1"/>
          <c:tx>
            <c:strRef>
              <c:f>Vega!$G$2</c:f>
              <c:strCache>
                <c:ptCount val="1"/>
                <c:pt idx="0">
                  <c:v>0.2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Vega!$E$3:$E$29</c:f>
              <c:numCache>
                <c:formatCode>General</c:formatCode>
                <c:ptCount val="27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</c:numCache>
            </c:numRef>
          </c:xVal>
          <c:yVal>
            <c:numRef>
              <c:f>Vega!$G$3:$G$29</c:f>
              <c:numCache>
                <c:formatCode>0.0</c:formatCode>
                <c:ptCount val="27"/>
                <c:pt idx="0">
                  <c:v>1.1465868962848006E-12</c:v>
                </c:pt>
                <c:pt idx="1">
                  <c:v>2.6297009624701502E-9</c:v>
                </c:pt>
                <c:pt idx="2">
                  <c:v>1.1407940683244143E-6</c:v>
                </c:pt>
                <c:pt idx="3">
                  <c:v>1.3193129087065664E-4</c:v>
                </c:pt>
                <c:pt idx="4">
                  <c:v>5.2534004542867671E-3</c:v>
                </c:pt>
                <c:pt idx="5">
                  <c:v>8.7520160975179576E-2</c:v>
                </c:pt>
                <c:pt idx="6">
                  <c:v>0.70955055898611408</c:v>
                </c:pt>
                <c:pt idx="7">
                  <c:v>3.1533901741110508</c:v>
                </c:pt>
                <c:pt idx="8">
                  <c:v>8.4488467601548383</c:v>
                </c:pt>
                <c:pt idx="9">
                  <c:v>14.737988094887244</c:v>
                </c:pt>
                <c:pt idx="10">
                  <c:v>17.823408836576959</c:v>
                </c:pt>
                <c:pt idx="11">
                  <c:v>15.738780111411721</c:v>
                </c:pt>
                <c:pt idx="12">
                  <c:v>10.595356081353202</c:v>
                </c:pt>
                <c:pt idx="13">
                  <c:v>5.6381504476998856</c:v>
                </c:pt>
                <c:pt idx="14">
                  <c:v>2.4451385663581959</c:v>
                </c:pt>
                <c:pt idx="15">
                  <c:v>0.88693819870755419</c:v>
                </c:pt>
                <c:pt idx="16">
                  <c:v>0.27513562592673679</c:v>
                </c:pt>
                <c:pt idx="17">
                  <c:v>7.4395930553805556E-2</c:v>
                </c:pt>
                <c:pt idx="18">
                  <c:v>1.7826084253158569E-2</c:v>
                </c:pt>
                <c:pt idx="19">
                  <c:v>3.83950219173812E-3</c:v>
                </c:pt>
                <c:pt idx="20">
                  <c:v>7.5268648203064004E-4</c:v>
                </c:pt>
                <c:pt idx="21">
                  <c:v>1.3576972435203061E-4</c:v>
                </c:pt>
                <c:pt idx="22">
                  <c:v>2.2750583639208344E-5</c:v>
                </c:pt>
                <c:pt idx="23">
                  <c:v>3.5714009527509916E-6</c:v>
                </c:pt>
                <c:pt idx="24">
                  <c:v>5.2914117532054661E-7</c:v>
                </c:pt>
                <c:pt idx="25">
                  <c:v>7.4464878707658499E-8</c:v>
                </c:pt>
                <c:pt idx="26">
                  <c:v>1.0018652574217413E-8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48-4950-9B7D-CD0BFD8D97C9}"/>
            </c:ext>
          </c:extLst>
        </c:ser>
        <c:ser>
          <c:idx val="2"/>
          <c:order val="2"/>
          <c:tx>
            <c:strRef>
              <c:f>Vega!$H$2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Vega!$E$3:$E$29</c:f>
              <c:numCache>
                <c:formatCode>General</c:formatCode>
                <c:ptCount val="27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</c:numCache>
            </c:numRef>
          </c:xVal>
          <c:yVal>
            <c:numRef>
              <c:f>Vega!$H$3:$H$29</c:f>
              <c:numCache>
                <c:formatCode>0.0</c:formatCode>
                <c:ptCount val="27"/>
                <c:pt idx="0">
                  <c:v>1.2087908087842748E-4</c:v>
                </c:pt>
                <c:pt idx="1">
                  <c:v>2.7477404493766776E-3</c:v>
                </c:pt>
                <c:pt idx="2">
                  <c:v>3.2006388979675678E-2</c:v>
                </c:pt>
                <c:pt idx="3">
                  <c:v>0.2192420316352397</c:v>
                </c:pt>
                <c:pt idx="4">
                  <c:v>0.97862778059986866</c:v>
                </c:pt>
                <c:pt idx="5">
                  <c:v>3.0780394445085317</c:v>
                </c:pt>
                <c:pt idx="6">
                  <c:v>7.2482504342524789</c:v>
                </c:pt>
                <c:pt idx="7">
                  <c:v>13.404472815468083</c:v>
                </c:pt>
                <c:pt idx="8">
                  <c:v>20.225754977998278</c:v>
                </c:pt>
                <c:pt idx="9">
                  <c:v>25.680612970311323</c:v>
                </c:pt>
                <c:pt idx="10">
                  <c:v>28.139043554866738</c:v>
                </c:pt>
                <c:pt idx="11">
                  <c:v>27.168035778171173</c:v>
                </c:pt>
                <c:pt idx="12">
                  <c:v>23.516736154771678</c:v>
                </c:pt>
                <c:pt idx="13">
                  <c:v>18.517272354987568</c:v>
                </c:pt>
                <c:pt idx="14">
                  <c:v>13.427300640085349</c:v>
                </c:pt>
                <c:pt idx="15">
                  <c:v>9.0603130428412726</c:v>
                </c:pt>
                <c:pt idx="16">
                  <c:v>5.7400336616098002</c:v>
                </c:pt>
                <c:pt idx="17">
                  <c:v>3.4405848739638145</c:v>
                </c:pt>
                <c:pt idx="18">
                  <c:v>1.964142288031212</c:v>
                </c:pt>
                <c:pt idx="19">
                  <c:v>1.0740687944732485</c:v>
                </c:pt>
                <c:pt idx="20">
                  <c:v>0.5654369711649565</c:v>
                </c:pt>
                <c:pt idx="21">
                  <c:v>0.28782677762961839</c:v>
                </c:pt>
                <c:pt idx="22">
                  <c:v>0.14221408545012082</c:v>
                </c:pt>
                <c:pt idx="23">
                  <c:v>6.8436666325055739E-2</c:v>
                </c:pt>
                <c:pt idx="24">
                  <c:v>3.2171322104090905E-2</c:v>
                </c:pt>
                <c:pt idx="25">
                  <c:v>1.4812682422871148E-2</c:v>
                </c:pt>
                <c:pt idx="26">
                  <c:v>6.695849421589628E-3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48-4950-9B7D-CD0BFD8D9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Rho,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Rho!$I$2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Rho!$I$3:$I$19</c:f>
              <c:numCache>
                <c:formatCode>0.0</c:formatCode>
                <c:ptCount val="17"/>
                <c:pt idx="0">
                  <c:v>1.7714257532059172E-29</c:v>
                </c:pt>
                <c:pt idx="1">
                  <c:v>1.8624027259700502E-14</c:v>
                </c:pt>
                <c:pt idx="2">
                  <c:v>4.682769188575278E-8</c:v>
                </c:pt>
                <c:pt idx="3">
                  <c:v>1.4242402047183629E-4</c:v>
                </c:pt>
                <c:pt idx="4">
                  <c:v>1.8141839996880377E-2</c:v>
                </c:pt>
                <c:pt idx="5">
                  <c:v>0.39756826354542252</c:v>
                </c:pt>
                <c:pt idx="6">
                  <c:v>2.9824806160445858</c:v>
                </c:pt>
                <c:pt idx="7">
                  <c:v>11.204623547924619</c:v>
                </c:pt>
                <c:pt idx="8">
                  <c:v>26.539433016206093</c:v>
                </c:pt>
                <c:pt idx="9">
                  <c:v>46.017215852831583</c:v>
                </c:pt>
                <c:pt idx="10">
                  <c:v>64.674629752508039</c:v>
                </c:pt>
                <c:pt idx="11">
                  <c:v>79.149162514635663</c:v>
                </c:pt>
                <c:pt idx="12">
                  <c:v>88.720959640564701</c:v>
                </c:pt>
                <c:pt idx="13">
                  <c:v>94.321642176282694</c:v>
                </c:pt>
                <c:pt idx="14">
                  <c:v>97.303045929990617</c:v>
                </c:pt>
                <c:pt idx="15">
                  <c:v>98.777610143088168</c:v>
                </c:pt>
                <c:pt idx="16">
                  <c:v>99.466219023227609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6-4312-BCD8-9429387D9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Theta, r=0.02,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Theta!$F$2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Theta!$F$3:$F$19</c:f>
              <c:numCache>
                <c:formatCode>0.0</c:formatCode>
                <c:ptCount val="17"/>
                <c:pt idx="0">
                  <c:v>-3.6921581989881642E-29</c:v>
                </c:pt>
                <c:pt idx="1">
                  <c:v>-2.3152906603111553E-14</c:v>
                </c:pt>
                <c:pt idx="2">
                  <c:v>-4.0090202080884991E-8</c:v>
                </c:pt>
                <c:pt idx="3">
                  <c:v>-8.8625073667234191E-5</c:v>
                </c:pt>
                <c:pt idx="4">
                  <c:v>-8.3928497209354025E-3</c:v>
                </c:pt>
                <c:pt idx="5">
                  <c:v>-0.13759905878145406</c:v>
                </c:pt>
                <c:pt idx="6">
                  <c:v>-0.76869880536456481</c:v>
                </c:pt>
                <c:pt idx="7">
                  <c:v>-2.122752053690391</c:v>
                </c:pt>
                <c:pt idx="8">
                  <c:v>-3.6236648686571722</c:v>
                </c:pt>
                <c:pt idx="9" formatCode="0.0000">
                  <c:v>-4.4200879704803242</c:v>
                </c:pt>
                <c:pt idx="10">
                  <c:v>-4.264805139264638</c:v>
                </c:pt>
                <c:pt idx="11">
                  <c:v>-3.5225190082144304</c:v>
                </c:pt>
                <c:pt idx="12">
                  <c:v>-2.6692387898208381</c:v>
                </c:pt>
                <c:pt idx="13">
                  <c:v>-1.9814660213057775</c:v>
                </c:pt>
                <c:pt idx="14">
                  <c:v>-1.525474710462049</c:v>
                </c:pt>
                <c:pt idx="15">
                  <c:v>-1.2598700870114499</c:v>
                </c:pt>
                <c:pt idx="16">
                  <c:v>-1.1188588885602258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C-49DC-8816-57D9E7F12D63}"/>
            </c:ext>
          </c:extLst>
        </c:ser>
        <c:ser>
          <c:idx val="1"/>
          <c:order val="1"/>
          <c:tx>
            <c:strRef>
              <c:f>Theta!$G$2</c:f>
              <c:strCache>
                <c:ptCount val="1"/>
                <c:pt idx="0">
                  <c:v>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Theta!$E$3:$E$19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Theta!$G$3:$G$19</c:f>
              <c:numCache>
                <c:formatCode>0.0</c:formatCode>
                <c:ptCount val="17"/>
                <c:pt idx="0">
                  <c:v>0.4950249419266583</c:v>
                </c:pt>
                <c:pt idx="1">
                  <c:v>0.4950249419266583</c:v>
                </c:pt>
                <c:pt idx="2">
                  <c:v>0.49502492061037623</c:v>
                </c:pt>
                <c:pt idx="3">
                  <c:v>0.49498062928421399</c:v>
                </c:pt>
                <c:pt idx="4">
                  <c:v>0.49082851631965235</c:v>
                </c:pt>
                <c:pt idx="5">
                  <c:v>0.42622541123193963</c:v>
                </c:pt>
                <c:pt idx="6">
                  <c:v>0.11067553842281085</c:v>
                </c:pt>
                <c:pt idx="7">
                  <c:v>-0.56635108496294606</c:v>
                </c:pt>
                <c:pt idx="8">
                  <c:v>-1.3168074937119911</c:v>
                </c:pt>
                <c:pt idx="9">
                  <c:v>-1.7150190450010425</c:v>
                </c:pt>
                <c:pt idx="10">
                  <c:v>-1.637377629615244</c:v>
                </c:pt>
                <c:pt idx="11">
                  <c:v>-1.266234564589741</c:v>
                </c:pt>
                <c:pt idx="12">
                  <c:v>-0.8395944544659083</c:v>
                </c:pt>
                <c:pt idx="13">
                  <c:v>-0.49570807025556268</c:v>
                </c:pt>
                <c:pt idx="14">
                  <c:v>-0.26771241510570309</c:v>
                </c:pt>
                <c:pt idx="15">
                  <c:v>-0.13491010182192786</c:v>
                </c:pt>
                <c:pt idx="16">
                  <c:v>-6.4404503353002185E-2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93-45B8-A940-910542588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price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spread'!$F$2</c:f>
              <c:strCache>
                <c:ptCount val="1"/>
                <c:pt idx="0">
                  <c:v>K1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spread'!$F$3:$F$19</c:f>
              <c:numCache>
                <c:formatCode>0.0</c:formatCode>
                <c:ptCount val="17"/>
                <c:pt idx="0">
                  <c:v>1.1917183735748675E-28</c:v>
                </c:pt>
                <c:pt idx="1">
                  <c:v>2.9662747452800518E-14</c:v>
                </c:pt>
                <c:pt idx="2">
                  <c:v>3.5057482894114621E-8</c:v>
                </c:pt>
                <c:pt idx="3">
                  <c:v>6.6899173077545959E-5</c:v>
                </c:pt>
                <c:pt idx="4">
                  <c:v>6.3237079629004621E-3</c:v>
                </c:pt>
                <c:pt idx="5">
                  <c:v>0.11548519397823219</c:v>
                </c:pt>
                <c:pt idx="6">
                  <c:v>0.78937840077809573</c:v>
                </c:pt>
                <c:pt idx="7">
                  <c:v>2.9066208540916358</c:v>
                </c:pt>
                <c:pt idx="8">
                  <c:v>7.1690107098652174</c:v>
                </c:pt>
                <c:pt idx="9">
                  <c:v>13.589108116054797</c:v>
                </c:pt>
                <c:pt idx="10">
                  <c:v>21.642171487122624</c:v>
                </c:pt>
                <c:pt idx="11">
                  <c:v>30.697423015530656</c:v>
                </c:pt>
                <c:pt idx="12">
                  <c:v>40.27897746318606</c:v>
                </c:pt>
                <c:pt idx="13">
                  <c:v>50.106455496911821</c:v>
                </c:pt>
                <c:pt idx="14">
                  <c:v>60.039167717860856</c:v>
                </c:pt>
                <c:pt idx="15">
                  <c:v>70.014017099746212</c:v>
                </c:pt>
                <c:pt idx="16">
                  <c:v>80.004914244185741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1C-4618-A31A-20EA11471979}"/>
            </c:ext>
          </c:extLst>
        </c:ser>
        <c:ser>
          <c:idx val="1"/>
          <c:order val="1"/>
          <c:tx>
            <c:strRef>
              <c:f>'call spread'!$G$2</c:f>
              <c:strCache>
                <c:ptCount val="1"/>
                <c:pt idx="0">
                  <c:v>K2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spread'!$G$3:$G$19</c:f>
              <c:numCache>
                <c:formatCode>0.0</c:formatCode>
                <c:ptCount val="17"/>
                <c:pt idx="0">
                  <c:v>-1.0956160223301831E-33</c:v>
                </c:pt>
                <c:pt idx="1">
                  <c:v>-8.241139383037615E-18</c:v>
                </c:pt>
                <c:pt idx="2">
                  <c:v>-6.9306239396975193E-11</c:v>
                </c:pt>
                <c:pt idx="3">
                  <c:v>-5.1642358146961024E-7</c:v>
                </c:pt>
                <c:pt idx="4">
                  <c:v>-1.3604821382934829E-4</c:v>
                </c:pt>
                <c:pt idx="5">
                  <c:v>-5.5451495160068788E-3</c:v>
                </c:pt>
                <c:pt idx="6">
                  <c:v>-7.1922008010901262E-2</c:v>
                </c:pt>
                <c:pt idx="7">
                  <c:v>-0.44243733982098715</c:v>
                </c:pt>
                <c:pt idx="8">
                  <c:v>-1.6421714871226225</c:v>
                </c:pt>
                <c:pt idx="9">
                  <c:v>-4.2920109414098864</c:v>
                </c:pt>
                <c:pt idx="10">
                  <c:v>-8.7621242009463778</c:v>
                </c:pt>
                <c:pt idx="11">
                  <c:v>-15.010388318310438</c:v>
                </c:pt>
                <c:pt idx="12">
                  <c:v>-22.69243295889542</c:v>
                </c:pt>
                <c:pt idx="13">
                  <c:v>-31.371279621257518</c:v>
                </c:pt>
                <c:pt idx="14">
                  <c:v>-40.667499272065385</c:v>
                </c:pt>
                <c:pt idx="15">
                  <c:v>-50.312934089791071</c:v>
                </c:pt>
                <c:pt idx="16">
                  <c:v>-60.142256664660621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1C-4618-A31A-20EA11471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spread'!$H$2</c:f>
              <c:strCache>
                <c:ptCount val="1"/>
                <c:pt idx="0">
                  <c:v>call spread price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spread'!$H$3:$H$19</c:f>
              <c:numCache>
                <c:formatCode>0.000</c:formatCode>
                <c:ptCount val="17"/>
                <c:pt idx="0">
                  <c:v>5.9585370870732211E-30</c:v>
                </c:pt>
                <c:pt idx="1">
                  <c:v>1.4827253156708741E-15</c:v>
                </c:pt>
                <c:pt idx="2">
                  <c:v>1.7494088327358825E-9</c:v>
                </c:pt>
                <c:pt idx="3">
                  <c:v>3.3191374748038172E-6</c:v>
                </c:pt>
                <c:pt idx="4">
                  <c:v>3.0938298745355569E-4</c:v>
                </c:pt>
                <c:pt idx="5">
                  <c:v>5.4970022231112655E-3</c:v>
                </c:pt>
                <c:pt idx="6">
                  <c:v>3.5872819638359719E-2</c:v>
                </c:pt>
                <c:pt idx="7">
                  <c:v>0.12320917571353243</c:v>
                </c:pt>
                <c:pt idx="8">
                  <c:v>0.27634196113712972</c:v>
                </c:pt>
                <c:pt idx="9">
                  <c:v>0.46485485873224552</c:v>
                </c:pt>
                <c:pt idx="10">
                  <c:v>0.6440023643088123</c:v>
                </c:pt>
                <c:pt idx="11">
                  <c:v>0.78435173486101095</c:v>
                </c:pt>
                <c:pt idx="12">
                  <c:v>0.87932722521453199</c:v>
                </c:pt>
                <c:pt idx="13">
                  <c:v>0.93675879378271509</c:v>
                </c:pt>
                <c:pt idx="14">
                  <c:v>0.96858342228977357</c:v>
                </c:pt>
                <c:pt idx="15">
                  <c:v>0.98505415049775702</c:v>
                </c:pt>
                <c:pt idx="16">
                  <c:v>0.99313287897625602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1C-4618-A31A-20EA11471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580607"/>
        <c:axId val="77682724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776827247"/>
        <c:scaling>
          <c:orientation val="minMax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580607"/>
        <c:crosses val="max"/>
        <c:crossBetween val="midCat"/>
      </c:valAx>
      <c:valAx>
        <c:axId val="856580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68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delta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spread'!$F$22</c:f>
              <c:strCache>
                <c:ptCount val="1"/>
                <c:pt idx="0">
                  <c:v>K1 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spread'!$F$23:$F$39</c:f>
              <c:numCache>
                <c:formatCode>0.0</c:formatCode>
                <c:ptCount val="17"/>
                <c:pt idx="0">
                  <c:v>6.7117324138401242E-28</c:v>
                </c:pt>
                <c:pt idx="1">
                  <c:v>5.838934266319902E-14</c:v>
                </c:pt>
                <c:pt idx="2">
                  <c:v>3.4633631314899694E-8</c:v>
                </c:pt>
                <c:pt idx="3">
                  <c:v>3.8323214566698765E-5</c:v>
                </c:pt>
                <c:pt idx="4">
                  <c:v>2.2632307317741428E-3</c:v>
                </c:pt>
                <c:pt idx="5">
                  <c:v>2.6969536407545069E-2</c:v>
                </c:pt>
                <c:pt idx="6">
                  <c:v>0.12372360498846824</c:v>
                </c:pt>
                <c:pt idx="7">
                  <c:v>0.31245087478470879</c:v>
                </c:pt>
                <c:pt idx="8">
                  <c:v>0.53982783722084093</c:v>
                </c:pt>
                <c:pt idx="9">
                  <c:v>0.73460567327110482</c:v>
                </c:pt>
                <c:pt idx="10">
                  <c:v>0.86506315412471224</c:v>
                </c:pt>
                <c:pt idx="11">
                  <c:v>0.93802584484592444</c:v>
                </c:pt>
                <c:pt idx="12">
                  <c:v>0.97372642443005475</c:v>
                </c:pt>
                <c:pt idx="13">
                  <c:v>0.98953275215762915</c:v>
                </c:pt>
                <c:pt idx="14">
                  <c:v>0.99602431847500839</c:v>
                </c:pt>
                <c:pt idx="15">
                  <c:v>0.9985437286630372</c:v>
                </c:pt>
                <c:pt idx="16">
                  <c:v>0.99948086123902158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35-4B2D-908C-EFE4AE533DD2}"/>
            </c:ext>
          </c:extLst>
        </c:ser>
        <c:ser>
          <c:idx val="1"/>
          <c:order val="1"/>
          <c:tx>
            <c:strRef>
              <c:f>'call spread'!$G$22</c:f>
              <c:strCache>
                <c:ptCount val="1"/>
                <c:pt idx="0">
                  <c:v>K2 delta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spread'!$G$23:$G$39</c:f>
              <c:numCache>
                <c:formatCode>0.0</c:formatCode>
                <c:ptCount val="17"/>
                <c:pt idx="0">
                  <c:v>-6.7123182841223696E-33</c:v>
                </c:pt>
                <c:pt idx="1">
                  <c:v>-1.8232591496988847E-17</c:v>
                </c:pt>
                <c:pt idx="2">
                  <c:v>-7.9533713399402091E-11</c:v>
                </c:pt>
                <c:pt idx="3">
                  <c:v>-3.5610448641257433E-7</c:v>
                </c:pt>
                <c:pt idx="4">
                  <c:v>-6.0946642547156306E-5</c:v>
                </c:pt>
                <c:pt idx="5">
                  <c:v>-1.6911102903418088E-3</c:v>
                </c:pt>
                <c:pt idx="6">
                  <c:v>-1.5389214145525298E-2</c:v>
                </c:pt>
                <c:pt idx="7">
                  <c:v>-6.7814365272811372E-2</c:v>
                </c:pt>
                <c:pt idx="8">
                  <c:v>-0.18316916146687845</c:v>
                </c:pt>
                <c:pt idx="9">
                  <c:v>-0.35325369155758679</c:v>
                </c:pt>
                <c:pt idx="10">
                  <c:v>-0.53982783724482175</c:v>
                </c:pt>
                <c:pt idx="11">
                  <c:v>-0.70369473872844424</c:v>
                </c:pt>
                <c:pt idx="12">
                  <c:v>-0.82517552309901987</c:v>
                </c:pt>
                <c:pt idx="13">
                  <c:v>-0.90419145899645059</c:v>
                </c:pt>
                <c:pt idx="14">
                  <c:v>-0.95060769998767114</c:v>
                </c:pt>
                <c:pt idx="15">
                  <c:v>-0.9757788236939291</c:v>
                </c:pt>
                <c:pt idx="16">
                  <c:v>-0.98859465034095706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35-4B2D-908C-EFE4AE53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spread'!$H$22</c:f>
              <c:strCache>
                <c:ptCount val="1"/>
                <c:pt idx="0">
                  <c:v>call spread delta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spread'!$H$23:$H$39</c:f>
              <c:numCache>
                <c:formatCode>0.000</c:formatCode>
                <c:ptCount val="17"/>
                <c:pt idx="0">
                  <c:v>3.3558326453286417E-29</c:v>
                </c:pt>
                <c:pt idx="1">
                  <c:v>2.9185555035851013E-15</c:v>
                </c:pt>
                <c:pt idx="2">
                  <c:v>1.7277048800750145E-9</c:v>
                </c:pt>
                <c:pt idx="3">
                  <c:v>1.8983555040143096E-6</c:v>
                </c:pt>
                <c:pt idx="4">
                  <c:v>1.1011420446134932E-4</c:v>
                </c:pt>
                <c:pt idx="5">
                  <c:v>1.263921305860163E-3</c:v>
                </c:pt>
                <c:pt idx="6">
                  <c:v>5.416719542147147E-3</c:v>
                </c:pt>
                <c:pt idx="7">
                  <c:v>1.2231825475594871E-2</c:v>
                </c:pt>
                <c:pt idx="8">
                  <c:v>1.7832933787698124E-2</c:v>
                </c:pt>
                <c:pt idx="9">
                  <c:v>1.9067599085675901E-2</c:v>
                </c:pt>
                <c:pt idx="10">
                  <c:v>1.6261765843994525E-2</c:v>
                </c:pt>
                <c:pt idx="11">
                  <c:v>1.171655530587401E-2</c:v>
                </c:pt>
                <c:pt idx="12">
                  <c:v>7.427545066551744E-3</c:v>
                </c:pt>
                <c:pt idx="13">
                  <c:v>4.2670646580589278E-3</c:v>
                </c:pt>
                <c:pt idx="14">
                  <c:v>2.2708309243668623E-3</c:v>
                </c:pt>
                <c:pt idx="15">
                  <c:v>1.1382452484554051E-3</c:v>
                </c:pt>
                <c:pt idx="16">
                  <c:v>5.4431054490322595E-4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35-4B2D-908C-EFE4AE53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89807"/>
        <c:axId val="81519692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815196927"/>
        <c:scaling>
          <c:orientation val="minMax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89807"/>
        <c:crosses val="max"/>
        <c:crossBetween val="midCat"/>
      </c:valAx>
      <c:valAx>
        <c:axId val="770389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196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gamma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spread'!$F$42</c:f>
              <c:strCache>
                <c:ptCount val="1"/>
                <c:pt idx="0">
                  <c:v>K1 gamma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spread'!$E$43:$E$59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spread'!$F$43:$F$59</c:f>
              <c:numCache>
                <c:formatCode>0.00</c:formatCode>
                <c:ptCount val="17"/>
                <c:pt idx="0">
                  <c:v>3.6835807113931138E-27</c:v>
                </c:pt>
                <c:pt idx="1">
                  <c:v>1.102194120862994E-13</c:v>
                </c:pt>
                <c:pt idx="2">
                  <c:v>3.2137135316031809E-8</c:v>
                </c:pt>
                <c:pt idx="3">
                  <c:v>2.0035343918184357E-5</c:v>
                </c:pt>
                <c:pt idx="4">
                  <c:v>7.0925544018614339E-4</c:v>
                </c:pt>
                <c:pt idx="5">
                  <c:v>5.1894006487807065E-3</c:v>
                </c:pt>
                <c:pt idx="6">
                  <c:v>1.4598663111708987E-2</c:v>
                </c:pt>
                <c:pt idx="7">
                  <c:v>2.2125015597396214E-2</c:v>
                </c:pt>
                <c:pt idx="8">
                  <c:v>2.2052919268489291E-2</c:v>
                </c:pt>
                <c:pt idx="9">
                  <c:v>1.6389549717388263E-2</c:v>
                </c:pt>
                <c:pt idx="10">
                  <c:v>9.8658539116058819E-3</c:v>
                </c:pt>
                <c:pt idx="11">
                  <c:v>5.0906736603906211E-3</c:v>
                </c:pt>
                <c:pt idx="12">
                  <c:v>2.3433628371094528E-3</c:v>
                </c:pt>
                <c:pt idx="13">
                  <c:v>9.9053920621372527E-4</c:v>
                </c:pt>
                <c:pt idx="14">
                  <c:v>3.9275249719139538E-4</c:v>
                </c:pt>
                <c:pt idx="15">
                  <c:v>1.4843237750028493E-4</c:v>
                </c:pt>
                <c:pt idx="16">
                  <c:v>5.4118487469168031E-5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0C-4800-A7BD-623B35BED1E9}"/>
            </c:ext>
          </c:extLst>
        </c:ser>
        <c:ser>
          <c:idx val="1"/>
          <c:order val="1"/>
          <c:tx>
            <c:strRef>
              <c:f>'call spread'!$G$42</c:f>
              <c:strCache>
                <c:ptCount val="1"/>
                <c:pt idx="0">
                  <c:v>K2 gamma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spread'!$E$43:$E$59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spread'!$G$43:$G$59</c:f>
              <c:numCache>
                <c:formatCode>0.00</c:formatCode>
                <c:ptCount val="17"/>
                <c:pt idx="0">
                  <c:v>-4.0181606554807293E-32</c:v>
                </c:pt>
                <c:pt idx="1">
                  <c:v>-3.8923512105397929E-17</c:v>
                </c:pt>
                <c:pt idx="2">
                  <c:v>-8.6770046990327243E-11</c:v>
                </c:pt>
                <c:pt idx="3">
                  <c:v>-2.2905938151959795E-7</c:v>
                </c:pt>
                <c:pt idx="4">
                  <c:v>-2.4838701313313095E-5</c:v>
                </c:pt>
                <c:pt idx="5">
                  <c:v>-4.5360448903963846E-4</c:v>
                </c:pt>
                <c:pt idx="6">
                  <c:v>-2.7652196747662838E-3</c:v>
                </c:pt>
                <c:pt idx="7">
                  <c:v>-8.1890284275853986E-3</c:v>
                </c:pt>
                <c:pt idx="8">
                  <c:v>-1.4737884801441226E-2</c:v>
                </c:pt>
                <c:pt idx="9">
                  <c:v>-1.8581923555416324E-2</c:v>
                </c:pt>
                <c:pt idx="10">
                  <c:v>-1.804329841093022E-2</c:v>
                </c:pt>
                <c:pt idx="11">
                  <c:v>-1.4405642900783278E-2</c:v>
                </c:pt>
                <c:pt idx="12">
                  <c:v>-9.908118769885732E-3</c:v>
                </c:pt>
                <c:pt idx="13">
                  <c:v>-6.0741482954540515E-3</c:v>
                </c:pt>
                <c:pt idx="14">
                  <c:v>-3.40447670055255E-3</c:v>
                </c:pt>
                <c:pt idx="15">
                  <c:v>-1.7785399819558734E-3</c:v>
                </c:pt>
                <c:pt idx="16">
                  <c:v>-8.7899110212674714E-4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0C-4800-A7BD-623B35BED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spread'!$H$42</c:f>
              <c:strCache>
                <c:ptCount val="1"/>
                <c:pt idx="0">
                  <c:v>call spread gamma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spread'!$E$43:$E$59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spread'!$H$43:$H$59</c:f>
              <c:numCache>
                <c:formatCode>0.0000</c:formatCode>
                <c:ptCount val="17"/>
                <c:pt idx="0">
                  <c:v>1.8417702648932796E-28</c:v>
                </c:pt>
                <c:pt idx="1">
                  <c:v>5.5090244287097002E-15</c:v>
                </c:pt>
                <c:pt idx="2">
                  <c:v>1.602518263452074E-9</c:v>
                </c:pt>
                <c:pt idx="3">
                  <c:v>9.9031422683323797E-7</c:v>
                </c:pt>
                <c:pt idx="4">
                  <c:v>3.4220836943641515E-5</c:v>
                </c:pt>
                <c:pt idx="5">
                  <c:v>2.367898079870534E-4</c:v>
                </c:pt>
                <c:pt idx="6">
                  <c:v>5.9167217184713516E-4</c:v>
                </c:pt>
                <c:pt idx="7">
                  <c:v>6.9679935849054075E-4</c:v>
                </c:pt>
                <c:pt idx="8">
                  <c:v>3.6575172335240325E-4</c:v>
                </c:pt>
                <c:pt idx="9">
                  <c:v>-1.0961869190140305E-4</c:v>
                </c:pt>
                <c:pt idx="10">
                  <c:v>-4.0887222496621689E-4</c:v>
                </c:pt>
                <c:pt idx="11">
                  <c:v>-4.6574846201963283E-4</c:v>
                </c:pt>
                <c:pt idx="12">
                  <c:v>-3.7823779663881396E-4</c:v>
                </c:pt>
                <c:pt idx="13">
                  <c:v>-2.5418045446201631E-4</c:v>
                </c:pt>
                <c:pt idx="14">
                  <c:v>-1.5058621016805773E-4</c:v>
                </c:pt>
                <c:pt idx="15">
                  <c:v>-8.1505380222779422E-5</c:v>
                </c:pt>
                <c:pt idx="16">
                  <c:v>-4.1243630732878955E-5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0C-4800-A7BD-623B35BED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89807"/>
        <c:axId val="81519692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815196927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89807"/>
        <c:crosses val="max"/>
        <c:crossBetween val="midCat"/>
      </c:valAx>
      <c:valAx>
        <c:axId val="770389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196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vega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spread'!$F$62</c:f>
              <c:strCache>
                <c:ptCount val="1"/>
                <c:pt idx="0">
                  <c:v>K1 vega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spread'!$E$63:$E$79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spread'!$F$63:$F$79</c:f>
              <c:numCache>
                <c:formatCode>0.0</c:formatCode>
                <c:ptCount val="17"/>
                <c:pt idx="0">
                  <c:v>7.8100785590225589E-26</c:v>
                </c:pt>
                <c:pt idx="1">
                  <c:v>8.9291156606306992E-12</c:v>
                </c:pt>
                <c:pt idx="2">
                  <c:v>5.8044428505870549E-6</c:v>
                </c:pt>
                <c:pt idx="3">
                  <c:v>6.41720399409301E-3</c:v>
                </c:pt>
                <c:pt idx="4">
                  <c:v>0.35469938763505293</c:v>
                </c:pt>
                <c:pt idx="5">
                  <c:v>3.7364381285584223</c:v>
                </c:pt>
                <c:pt idx="6">
                  <c:v>14.306552197601684</c:v>
                </c:pt>
                <c:pt idx="7">
                  <c:v>28.319912280774016</c:v>
                </c:pt>
                <c:pt idx="8">
                  <c:v>35.725727799245099</c:v>
                </c:pt>
                <c:pt idx="9">
                  <c:v>32.778988124805508</c:v>
                </c:pt>
                <c:pt idx="10">
                  <c:v>23.875167410844611</c:v>
                </c:pt>
                <c:pt idx="11">
                  <c:v>14.661012344237889</c:v>
                </c:pt>
                <c:pt idx="12">
                  <c:v>7.9206212293669864</c:v>
                </c:pt>
                <c:pt idx="13">
                  <c:v>3.8830582043694051</c:v>
                </c:pt>
                <c:pt idx="14">
                  <c:v>1.7675491215953798</c:v>
                </c:pt>
                <c:pt idx="15">
                  <c:v>0.7600931075586459</c:v>
                </c:pt>
                <c:pt idx="16">
                  <c:v>0.31290453001275864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69-4438-8262-F4E76938039B}"/>
            </c:ext>
          </c:extLst>
        </c:ser>
        <c:ser>
          <c:idx val="1"/>
          <c:order val="1"/>
          <c:tx>
            <c:strRef>
              <c:f>'call spread'!$G$62</c:f>
              <c:strCache>
                <c:ptCount val="1"/>
                <c:pt idx="0">
                  <c:v>K2 vega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spread'!$E$63:$E$79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spread'!$G$63:$G$79</c:f>
              <c:numCache>
                <c:formatCode>0.0</c:formatCode>
                <c:ptCount val="17"/>
                <c:pt idx="0">
                  <c:v>-8.7294452536465089E-31</c:v>
                </c:pt>
                <c:pt idx="1">
                  <c:v>-3.1798639282870604E-15</c:v>
                </c:pt>
                <c:pt idx="2">
                  <c:v>-1.5726378816130495E-8</c:v>
                </c:pt>
                <c:pt idx="3">
                  <c:v>-7.3475356021672698E-5</c:v>
                </c:pt>
                <c:pt idx="4">
                  <c:v>-1.2429421312016048E-2</c:v>
                </c:pt>
                <c:pt idx="5">
                  <c:v>-0.32667226520266851</c:v>
                </c:pt>
                <c:pt idx="6">
                  <c:v>-2.710035527543071</c:v>
                </c:pt>
                <c:pt idx="7">
                  <c:v>-10.481901154360679</c:v>
                </c:pt>
                <c:pt idx="8">
                  <c:v>-23.875167410843055</c:v>
                </c:pt>
                <c:pt idx="9">
                  <c:v>-37.163744614765015</c:v>
                </c:pt>
                <c:pt idx="10">
                  <c:v>-43.664778421298678</c:v>
                </c:pt>
                <c:pt idx="11">
                  <c:v>-41.48815649234816</c:v>
                </c:pt>
                <c:pt idx="12">
                  <c:v>-33.489224909258652</c:v>
                </c:pt>
                <c:pt idx="13">
                  <c:v>-23.81043933110405</c:v>
                </c:pt>
                <c:pt idx="14">
                  <c:v>-15.320044942910727</c:v>
                </c:pt>
                <c:pt idx="15">
                  <c:v>-9.1062038003961732</c:v>
                </c:pt>
                <c:pt idx="16">
                  <c:v>-5.0807655078344283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69-4438-8262-F4E769380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spread'!$H$62</c:f>
              <c:strCache>
                <c:ptCount val="1"/>
                <c:pt idx="0">
                  <c:v>call spread vega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spread'!$E$63:$E$79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spread'!$H$63:$H$79</c:f>
              <c:numCache>
                <c:formatCode>0.000</c:formatCode>
                <c:ptCount val="17"/>
                <c:pt idx="0">
                  <c:v>3.9049956322850115E-27</c:v>
                </c:pt>
                <c:pt idx="1">
                  <c:v>4.4629678983512061E-13</c:v>
                </c:pt>
                <c:pt idx="2">
                  <c:v>2.8943582358854625E-7</c:v>
                </c:pt>
                <c:pt idx="3">
                  <c:v>3.1718643190356685E-4</c:v>
                </c:pt>
                <c:pt idx="4">
                  <c:v>1.7113498316151842E-2</c:v>
                </c:pt>
                <c:pt idx="5">
                  <c:v>0.17048829316778769</c:v>
                </c:pt>
                <c:pt idx="6">
                  <c:v>0.5798258335029306</c:v>
                </c:pt>
                <c:pt idx="7">
                  <c:v>0.89190055632066678</c:v>
                </c:pt>
                <c:pt idx="8">
                  <c:v>0.59252801942010225</c:v>
                </c:pt>
                <c:pt idx="9">
                  <c:v>-0.21923782449797535</c:v>
                </c:pt>
                <c:pt idx="10">
                  <c:v>-0.98948055052270334</c:v>
                </c:pt>
                <c:pt idx="11">
                  <c:v>-1.3413572074055136</c:v>
                </c:pt>
                <c:pt idx="12">
                  <c:v>-1.2784301839945833</c:v>
                </c:pt>
                <c:pt idx="13">
                  <c:v>-0.99636905633673223</c:v>
                </c:pt>
                <c:pt idx="14">
                  <c:v>-0.67762479106576734</c:v>
                </c:pt>
                <c:pt idx="15">
                  <c:v>-0.41730553464187636</c:v>
                </c:pt>
                <c:pt idx="16">
                  <c:v>-0.23839304889108348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69-4438-8262-F4E769380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89807"/>
        <c:axId val="81519692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815196927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89807"/>
        <c:crosses val="max"/>
        <c:crossBetween val="midCat"/>
      </c:valAx>
      <c:valAx>
        <c:axId val="770389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196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</a:t>
            </a:r>
            <a:r>
              <a:rPr lang="en-SG" baseline="0"/>
              <a:t> option price,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 call'!$F$2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'digi call'!$E$3:$E$19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'digi call'!$F$3:$F$19</c:f>
              <c:numCache>
                <c:formatCode>0.000</c:formatCode>
                <c:ptCount val="17"/>
                <c:pt idx="0">
                  <c:v>1.8020124512364652E-30</c:v>
                </c:pt>
                <c:pt idx="1">
                  <c:v>9.5395238239407611E-16</c:v>
                </c:pt>
                <c:pt idx="2">
                  <c:v>1.6110398053355935E-9</c:v>
                </c:pt>
                <c:pt idx="3">
                  <c:v>3.7068167873690207E-6</c:v>
                </c:pt>
                <c:pt idx="4">
                  <c:v>3.8169880587832477E-4</c:v>
                </c:pt>
                <c:pt idx="5">
                  <c:v>7.0613327865960696E-3</c:v>
                </c:pt>
                <c:pt idx="6">
                  <c:v>4.6151287114118422E-2</c:v>
                </c:pt>
                <c:pt idx="7">
                  <c:v>0.15488190506429689</c:v>
                </c:pt>
                <c:pt idx="8">
                  <c:v>0.33476156424461223</c:v>
                </c:pt>
                <c:pt idx="9">
                  <c:v>0.5398278372306109</c:v>
                </c:pt>
                <c:pt idx="10">
                  <c:v>0.71787856162597308</c:v>
                </c:pt>
                <c:pt idx="11">
                  <c:v>0.84413718860609777</c:v>
                </c:pt>
                <c:pt idx="12">
                  <c:v>0.92099871067041761</c:v>
                </c:pt>
                <c:pt idx="13">
                  <c:v>0.96265482435242689</c:v>
                </c:pt>
                <c:pt idx="14">
                  <c:v>0.98330347794828299</c:v>
                </c:pt>
                <c:pt idx="15">
                  <c:v>0.99285754922107117</c:v>
                </c:pt>
                <c:pt idx="16">
                  <c:v>0.99704867890437754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F-4C91-8EFC-55CB43F87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</a:t>
            </a:r>
            <a:r>
              <a:rPr lang="en-SG" baseline="0"/>
              <a:t> option delta,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 call'!$G$2</c:f>
              <c:strCache>
                <c:ptCount val="1"/>
                <c:pt idx="0">
                  <c:v>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'digi call'!$E$3:$E$19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'digi call'!$G$3:$G$19</c:f>
              <c:numCache>
                <c:formatCode>0.0000</c:formatCode>
                <c:ptCount val="17"/>
                <c:pt idx="0">
                  <c:v>1.036094507236158E-29</c:v>
                </c:pt>
                <c:pt idx="1">
                  <c:v>1.9244374444283281E-15</c:v>
                </c:pt>
                <c:pt idx="2">
                  <c:v>1.6325990710428007E-9</c:v>
                </c:pt>
                <c:pt idx="3">
                  <c:v>2.1714976942595468E-6</c:v>
                </c:pt>
                <c:pt idx="4">
                  <c:v>1.3836537406282379E-4</c:v>
                </c:pt>
                <c:pt idx="5">
                  <c:v>1.6364639313787288E-3</c:v>
                </c:pt>
                <c:pt idx="6">
                  <c:v>6.9094105506484205E-3</c:v>
                </c:pt>
                <c:pt idx="7">
                  <c:v>1.4885485899451822E-2</c:v>
                </c:pt>
                <c:pt idx="8">
                  <c:v>2.0234014130871003E-2</c:v>
                </c:pt>
                <c:pt idx="9">
                  <c:v>1.9847628429658926E-2</c:v>
                </c:pt>
                <c:pt idx="10">
                  <c:v>1.5356961924339885E-2</c:v>
                </c:pt>
                <c:pt idx="11">
                  <c:v>9.9650900864389769E-3</c:v>
                </c:pt>
                <c:pt idx="12">
                  <c:v>5.6638311818346665E-3</c:v>
                </c:pt>
                <c:pt idx="13">
                  <c:v>2.9101574483547665E-3</c:v>
                </c:pt>
                <c:pt idx="14">
                  <c:v>1.3838334922411377E-3</c:v>
                </c:pt>
                <c:pt idx="15">
                  <c:v>6.198881408181478E-4</c:v>
                </c:pt>
                <c:pt idx="16">
                  <c:v>2.6516033813095419E-4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A-40C5-BACC-47F789684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</a:t>
            </a:r>
            <a:r>
              <a:rPr lang="en-SG" baseline="0"/>
              <a:t> option gamma,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 call'!$H$2</c:f>
              <c:strCache>
                <c:ptCount val="1"/>
                <c:pt idx="0">
                  <c:v>Gamma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'digi call'!$E$3:$E$19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'digi call'!$H$3:$H$19</c:f>
              <c:numCache>
                <c:formatCode>0.00000</c:formatCode>
                <c:ptCount val="17"/>
                <c:pt idx="0">
                  <c:v>5.8088563438883322E-29</c:v>
                </c:pt>
                <c:pt idx="1">
                  <c:v>3.7272720538288129E-15</c:v>
                </c:pt>
                <c:pt idx="2">
                  <c:v>1.5563139819858906E-9</c:v>
                </c:pt>
                <c:pt idx="3">
                  <c:v>1.1620025722072855E-6</c:v>
                </c:pt>
                <c:pt idx="4">
                  <c:v>4.3805291425474957E-5</c:v>
                </c:pt>
                <c:pt idx="5">
                  <c:v>3.0740514300742205E-4</c:v>
                </c:pt>
                <c:pt idx="6">
                  <c:v>7.3234820985312865E-4</c:v>
                </c:pt>
                <c:pt idx="7">
                  <c:v>7.5908723751183516E-4</c:v>
                </c:pt>
                <c:pt idx="8">
                  <c:v>2.5696111904949248E-4</c:v>
                </c:pt>
                <c:pt idx="9">
                  <c:v>-2.9776181520446698E-4</c:v>
                </c:pt>
                <c:pt idx="10">
                  <c:v>-5.404565683875262E-4</c:v>
                </c:pt>
                <c:pt idx="11">
                  <c:v>-5.0315307476012094E-4</c:v>
                </c:pt>
                <c:pt idx="12">
                  <c:v>-3.503863865716994E-4</c:v>
                </c:pt>
                <c:pt idx="13">
                  <c:v>-2.0605739337042905E-4</c:v>
                </c:pt>
                <c:pt idx="14">
                  <c:v>-1.0391687510491465E-4</c:v>
                </c:pt>
                <c:pt idx="15">
                  <c:v>-4.6185277824406512E-5</c:v>
                </c:pt>
                <c:pt idx="16">
                  <c:v>-2.8421709430404007E-5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5-42A8-8C4F-90EC01B3A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568137</xdr:colOff>
      <xdr:row>1</xdr:row>
      <xdr:rowOff>14941</xdr:rowOff>
    </xdr:from>
    <xdr:to>
      <xdr:col>16</xdr:col>
      <xdr:colOff>351118</xdr:colOff>
      <xdr:row>21</xdr:row>
      <xdr:rowOff>119529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BCE76-BF14-4DC8-9F69-B64F8E09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0</xdr:row>
      <xdr:rowOff>177800</xdr:rowOff>
    </xdr:from>
    <xdr:to>
      <xdr:col>18</xdr:col>
      <xdr:colOff>546100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45BF0-C1D7-4599-B8B9-E847F6BEC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165100</xdr:colOff>
      <xdr:row>19</xdr:row>
      <xdr:rowOff>12700</xdr:rowOff>
    </xdr:from>
    <xdr:to>
      <xdr:col>18</xdr:col>
      <xdr:colOff>539750</xdr:colOff>
      <xdr:row>36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E4B87E-3DE3-4C4E-AC6A-428935843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246530</xdr:colOff>
      <xdr:row>41</xdr:row>
      <xdr:rowOff>74706</xdr:rowOff>
    </xdr:from>
    <xdr:to>
      <xdr:col>18</xdr:col>
      <xdr:colOff>8592</xdr:colOff>
      <xdr:row>58</xdr:row>
      <xdr:rowOff>119156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A1AB75-D022-4CA6-BD09-BD50928F8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373530</xdr:colOff>
      <xdr:row>62</xdr:row>
      <xdr:rowOff>97117</xdr:rowOff>
    </xdr:from>
    <xdr:to>
      <xdr:col>18</xdr:col>
      <xdr:colOff>135592</xdr:colOff>
      <xdr:row>79</xdr:row>
      <xdr:rowOff>141567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59F5A0-3BCB-49C6-BC3A-19D32AC9B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</xdr:row>
      <xdr:rowOff>114300</xdr:rowOff>
    </xdr:from>
    <xdr:to>
      <xdr:col>17</xdr:col>
      <xdr:colOff>279400</xdr:colOff>
      <xdr:row>18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62A7C-562C-4A6B-B775-429C47040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546100</xdr:colOff>
      <xdr:row>20</xdr:row>
      <xdr:rowOff>95250</xdr:rowOff>
    </xdr:from>
    <xdr:to>
      <xdr:col>17</xdr:col>
      <xdr:colOff>311150</xdr:colOff>
      <xdr:row>37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83143F-689B-4C89-BCAA-B31D90A0C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146050</xdr:colOff>
      <xdr:row>1</xdr:row>
      <xdr:rowOff>38100</xdr:rowOff>
    </xdr:from>
    <xdr:to>
      <xdr:col>17</xdr:col>
      <xdr:colOff>520700</xdr:colOff>
      <xdr:row>18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0F46E-551A-479E-A6B1-60257B890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</xdr:colOff>
      <xdr:row>1</xdr:row>
      <xdr:rowOff>158750</xdr:rowOff>
    </xdr:from>
    <xdr:to>
      <xdr:col>12</xdr:col>
      <xdr:colOff>482600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9564CD-F148-499B-8FDB-586F96352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387350</xdr:colOff>
      <xdr:row>1</xdr:row>
      <xdr:rowOff>44450</xdr:rowOff>
    </xdr:from>
    <xdr:to>
      <xdr:col>17</xdr:col>
      <xdr:colOff>152400</xdr:colOff>
      <xdr:row>18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6620DD-BF48-40F1-9DDE-74FFD2B0E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567767</xdr:colOff>
      <xdr:row>4</xdr:row>
      <xdr:rowOff>44823</xdr:rowOff>
    </xdr:from>
    <xdr:to>
      <xdr:col>15</xdr:col>
      <xdr:colOff>508377</xdr:colOff>
      <xdr:row>18</xdr:row>
      <xdr:rowOff>8965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B427E1A-F3CF-4A95-B91B-80F70DB78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582704</xdr:colOff>
      <xdr:row>24</xdr:row>
      <xdr:rowOff>7473</xdr:rowOff>
    </xdr:from>
    <xdr:to>
      <xdr:col>15</xdr:col>
      <xdr:colOff>523314</xdr:colOff>
      <xdr:row>37</xdr:row>
      <xdr:rowOff>158380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6F097B3-E55B-4F62-9E06-13B7C49EC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493059</xdr:colOff>
      <xdr:row>42</xdr:row>
      <xdr:rowOff>37353</xdr:rowOff>
    </xdr:from>
    <xdr:to>
      <xdr:col>15</xdr:col>
      <xdr:colOff>433669</xdr:colOff>
      <xdr:row>56</xdr:row>
      <xdr:rowOff>1495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A89452C-ECA6-47CA-B19A-23BAD6C46D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82177</xdr:colOff>
      <xdr:row>62</xdr:row>
      <xdr:rowOff>141942</xdr:rowOff>
    </xdr:from>
    <xdr:to>
      <xdr:col>16</xdr:col>
      <xdr:colOff>22787</xdr:colOff>
      <xdr:row>76</xdr:row>
      <xdr:rowOff>106084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8C2D453-4990-4214-985B-518508DA5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186390</xdr:colOff>
      <xdr:row>0</xdr:row>
      <xdr:rowOff>103094</xdr:rowOff>
    </xdr:from>
    <xdr:to>
      <xdr:col>15</xdr:col>
      <xdr:colOff>127000</xdr:colOff>
      <xdr:row>14</xdr:row>
      <xdr:rowOff>67236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C93605-C5D9-462F-8B30-83859F807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194235</xdr:colOff>
      <xdr:row>15</xdr:row>
      <xdr:rowOff>29882</xdr:rowOff>
    </xdr:from>
    <xdr:to>
      <xdr:col>15</xdr:col>
      <xdr:colOff>134845</xdr:colOff>
      <xdr:row>28</xdr:row>
      <xdr:rowOff>180789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D74051-51C6-4564-B355-C5D8E0FA3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216647</xdr:colOff>
      <xdr:row>29</xdr:row>
      <xdr:rowOff>119531</xdr:rowOff>
    </xdr:from>
    <xdr:to>
      <xdr:col>15</xdr:col>
      <xdr:colOff>157257</xdr:colOff>
      <xdr:row>43</xdr:row>
      <xdr:rowOff>83673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006E06-278C-434A-B752-928AC54BC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19"/>
  <sheetViews>
    <sheetView workbookViewId="0">
      <selection activeCell="C20" sqref="C20"/>
    </sheetView>
  </sheetViews>
  <sheetFormatPr defaultRowHeight="14.5" x14ac:dyDescent="0.35"/>
  <cols>
    <col min="6" max="6" width="11.81640625" bestFit="1" customWidth="1"/>
    <col min="7" max="7" width="9.81640625" bestFit="1" customWidth="1"/>
    <col min="8" max="9" width="11.81640625" bestFit="1" customWidth="1"/>
  </cols>
  <sheetData>
    <row r="1" spans="2:10" x14ac:dyDescent="0.35">
      <c r="F1" t="s">
        <v>12</v>
      </c>
      <c r="G1">
        <v>1E-4</v>
      </c>
      <c r="H1">
        <v>1E-4</v>
      </c>
      <c r="I1">
        <v>1E-4</v>
      </c>
      <c r="J1">
        <v>1E-4</v>
      </c>
    </row>
    <row r="2" spans="2:10" x14ac:dyDescent="0.35">
      <c r="B2" t="s">
        <v>0</v>
      </c>
      <c r="C2">
        <v>100</v>
      </c>
      <c r="E2" t="s">
        <v>0</v>
      </c>
      <c r="F2" t="s">
        <v>7</v>
      </c>
      <c r="G2" t="s">
        <v>8</v>
      </c>
      <c r="H2" t="s">
        <v>9</v>
      </c>
      <c r="I2" t="s">
        <v>10</v>
      </c>
      <c r="J2" t="s">
        <v>11</v>
      </c>
    </row>
    <row r="3" spans="2:10" x14ac:dyDescent="0.35">
      <c r="B3" t="s">
        <v>2</v>
      </c>
      <c r="C3">
        <v>0</v>
      </c>
      <c r="E3">
        <v>10</v>
      </c>
      <c r="F3" s="1">
        <f>BlackCallPrice(E3,$C$3,$C$4,$C$5,$C$7,$C$6)</f>
        <v>3.0586701126037154E-31</v>
      </c>
      <c r="G3" s="1">
        <f>BlackCallDelta(E3,$C$3,$C$4,$C$5,$C$7,$C$6,$G$1)</f>
        <v>1.8020028663081354E-30</v>
      </c>
      <c r="H3" s="1">
        <f>BlackCallGamma(E3,$C$3,$C$4,$C$5,$C$7,$C$6,$H$1)</f>
        <v>1.0360843022560068E-29</v>
      </c>
      <c r="I3" s="1">
        <f>BlackCallVega(E3,$C$3,$C$4,$C$5,$C$7,$C$6,$I$1)</f>
        <v>2.0736504738480499E-28</v>
      </c>
      <c r="J3" s="1">
        <f>BlackCallRho(E3,$C$3,$C$4,$C$5,$C$7,$C$6,$J$1)</f>
        <v>1.7714257532059172E-29</v>
      </c>
    </row>
    <row r="4" spans="2:10" x14ac:dyDescent="0.35">
      <c r="B4" t="s">
        <v>3</v>
      </c>
      <c r="C4">
        <v>0</v>
      </c>
      <c r="E4">
        <v>20</v>
      </c>
      <c r="F4" s="1">
        <f t="shared" ref="F4:F19" si="0">BlackCallPrice(E4,$C$3,$C$4,$C$5,$C$7,$C$6)</f>
        <v>4.5505769201974105E-16</v>
      </c>
      <c r="G4" s="1">
        <f t="shared" ref="G4:G19" si="1">BlackCallDelta(E4,$C$3,$C$4,$C$5,$C$7,$C$6,$G$1)</f>
        <v>9.5395176708178118E-16</v>
      </c>
      <c r="H4" s="1">
        <f t="shared" ref="H4:H19" si="2">BlackCallGamma(E4,$C$3,$C$4,$C$5,$C$7,$C$6,$H$1)</f>
        <v>1.9244275045590552E-15</v>
      </c>
      <c r="I4" s="1">
        <f t="shared" ref="I4:I19" si="3">BlackCallVega(E4,$C$3,$C$4,$C$5,$C$7,$C$6,$I$1)</f>
        <v>1.5398046440767393E-13</v>
      </c>
      <c r="J4" s="1">
        <f t="shared" ref="J4:J19" si="4">BlackCallRho(E4,$C$3,$C$4,$C$5,$C$7,$C$6,$J$1)</f>
        <v>1.8624027259700502E-14</v>
      </c>
    </row>
    <row r="5" spans="2:10" x14ac:dyDescent="0.35">
      <c r="B5" t="s">
        <v>4</v>
      </c>
      <c r="C5">
        <v>0.2</v>
      </c>
      <c r="E5">
        <v>30</v>
      </c>
      <c r="F5" s="1">
        <f t="shared" si="0"/>
        <v>1.5035646042794689E-9</v>
      </c>
      <c r="G5" s="1">
        <f t="shared" si="1"/>
        <v>1.6110395464149303E-9</v>
      </c>
      <c r="H5" s="1">
        <f t="shared" si="2"/>
        <v>1.6326128063251733E-9</v>
      </c>
      <c r="I5" s="1">
        <f t="shared" si="3"/>
        <v>2.9388244062587311E-7</v>
      </c>
      <c r="J5" s="1">
        <f t="shared" si="4"/>
        <v>4.682769188575278E-8</v>
      </c>
    </row>
    <row r="6" spans="2:10" x14ac:dyDescent="0.35">
      <c r="B6" t="s">
        <v>1</v>
      </c>
      <c r="C6">
        <v>100</v>
      </c>
      <c r="E6">
        <v>40</v>
      </c>
      <c r="F6" s="1">
        <f t="shared" si="0"/>
        <v>5.8487674687639136E-6</v>
      </c>
      <c r="G6" s="1">
        <f t="shared" si="1"/>
        <v>3.7068165958527538E-6</v>
      </c>
      <c r="H6" s="1">
        <f t="shared" si="2"/>
        <v>2.1715031726568914E-6</v>
      </c>
      <c r="I6" s="1">
        <f t="shared" si="3"/>
        <v>6.9489012783967828E-4</v>
      </c>
      <c r="J6" s="1">
        <f t="shared" si="4"/>
        <v>1.4242402047183629E-4</v>
      </c>
    </row>
    <row r="7" spans="2:10" x14ac:dyDescent="0.35">
      <c r="B7" t="s">
        <v>5</v>
      </c>
      <c r="C7">
        <v>1</v>
      </c>
      <c r="E7">
        <v>50</v>
      </c>
      <c r="F7" s="1">
        <f t="shared" si="0"/>
        <v>9.4310908807504197E-4</v>
      </c>
      <c r="G7" s="1">
        <f t="shared" si="1"/>
        <v>3.8169879870480952E-4</v>
      </c>
      <c r="H7" s="1">
        <f t="shared" si="2"/>
        <v>1.383647374193081E-4</v>
      </c>
      <c r="I7" s="1">
        <f t="shared" si="3"/>
        <v>6.918299995080715E-2</v>
      </c>
      <c r="J7" s="1">
        <f t="shared" si="4"/>
        <v>1.8141839996880377E-2</v>
      </c>
    </row>
    <row r="8" spans="2:10" x14ac:dyDescent="0.35">
      <c r="E8">
        <v>60</v>
      </c>
      <c r="F8" s="1">
        <f t="shared" si="0"/>
        <v>2.6111811907240604E-2</v>
      </c>
      <c r="G8" s="1">
        <f t="shared" si="1"/>
        <v>7.0613327361399025E-3</v>
      </c>
      <c r="H8" s="1">
        <f t="shared" si="2"/>
        <v>1.6364831365023313E-3</v>
      </c>
      <c r="I8" s="1">
        <f t="shared" si="3"/>
        <v>1.1782550456210239</v>
      </c>
      <c r="J8" s="1">
        <f t="shared" si="4"/>
        <v>0.39756826354542252</v>
      </c>
    </row>
    <row r="9" spans="2:10" x14ac:dyDescent="0.35">
      <c r="B9" t="s">
        <v>6</v>
      </c>
      <c r="C9">
        <f>BlackCallPrice(C2,C3,C4,C5,C7,C6)</f>
        <v>7.9655674554057976</v>
      </c>
      <c r="E9">
        <v>70</v>
      </c>
      <c r="F9" s="1">
        <f t="shared" si="0"/>
        <v>0.24810989689245078</v>
      </c>
      <c r="G9" s="1">
        <f t="shared" si="1"/>
        <v>4.6151286998280527E-2</v>
      </c>
      <c r="H9" s="1">
        <f t="shared" si="2"/>
        <v>6.9093744614612262E-3</v>
      </c>
      <c r="I9" s="1">
        <f t="shared" si="3"/>
        <v>6.7712215489595939</v>
      </c>
      <c r="J9" s="1">
        <f t="shared" si="4"/>
        <v>2.9824806160445858</v>
      </c>
    </row>
    <row r="10" spans="2:10" x14ac:dyDescent="0.35">
      <c r="E10">
        <v>80</v>
      </c>
      <c r="F10" s="1">
        <f t="shared" si="0"/>
        <v>1.1859295132104275</v>
      </c>
      <c r="G10" s="1">
        <f t="shared" si="1"/>
        <v>0.15488190495460685</v>
      </c>
      <c r="H10" s="1">
        <f t="shared" si="2"/>
        <v>1.4885204180359324E-2</v>
      </c>
      <c r="I10" s="1">
        <f t="shared" si="3"/>
        <v>19.053422199831747</v>
      </c>
      <c r="J10" s="1">
        <f t="shared" si="4"/>
        <v>11.204623547924619</v>
      </c>
    </row>
    <row r="11" spans="2:10" x14ac:dyDescent="0.35">
      <c r="E11">
        <v>90</v>
      </c>
      <c r="F11" s="1">
        <f t="shared" si="0"/>
        <v>3.5891081160547964</v>
      </c>
      <c r="G11" s="1">
        <f t="shared" si="1"/>
        <v>0.33476156420020331</v>
      </c>
      <c r="H11" s="1">
        <f t="shared" si="2"/>
        <v>2.0234169895161358E-2</v>
      </c>
      <c r="I11" s="1">
        <f t="shared" si="3"/>
        <v>32.779092375954107</v>
      </c>
      <c r="J11" s="1">
        <f t="shared" si="4"/>
        <v>26.539433016206093</v>
      </c>
    </row>
    <row r="12" spans="2:10" x14ac:dyDescent="0.35">
      <c r="E12">
        <v>100</v>
      </c>
      <c r="F12" s="1">
        <f t="shared" si="0"/>
        <v>7.9655674554057976</v>
      </c>
      <c r="G12" s="1">
        <f t="shared" si="1"/>
        <v>0.53982783724038086</v>
      </c>
      <c r="H12" s="1">
        <f t="shared" si="2"/>
        <v>1.9847501420144908E-2</v>
      </c>
      <c r="I12" s="1">
        <f t="shared" si="3"/>
        <v>39.695254731269003</v>
      </c>
      <c r="J12" s="1">
        <f t="shared" si="4"/>
        <v>46.017215852831583</v>
      </c>
    </row>
    <row r="13" spans="2:10" x14ac:dyDescent="0.35">
      <c r="E13">
        <v>110</v>
      </c>
      <c r="F13" s="1">
        <f t="shared" si="0"/>
        <v>14.292010941409888</v>
      </c>
      <c r="G13" s="1">
        <f t="shared" si="1"/>
        <v>0.71787856181337872</v>
      </c>
      <c r="H13" s="1">
        <f t="shared" si="2"/>
        <v>1.535673810337812E-2</v>
      </c>
      <c r="I13" s="1">
        <f t="shared" si="3"/>
        <v>37.163843368439586</v>
      </c>
      <c r="J13" s="1">
        <f t="shared" si="4"/>
        <v>64.674629752508039</v>
      </c>
    </row>
    <row r="14" spans="2:10" x14ac:dyDescent="0.35">
      <c r="E14">
        <v>120</v>
      </c>
      <c r="F14" s="1">
        <f t="shared" si="0"/>
        <v>22.147298810578143</v>
      </c>
      <c r="G14" s="1">
        <f t="shared" si="1"/>
        <v>0.84413718868248111</v>
      </c>
      <c r="H14" s="1">
        <f t="shared" si="2"/>
        <v>9.9654506868773751E-3</v>
      </c>
      <c r="I14" s="1">
        <f t="shared" si="3"/>
        <v>28.699450581388675</v>
      </c>
      <c r="J14" s="1">
        <f t="shared" si="4"/>
        <v>79.149162514635663</v>
      </c>
    </row>
    <row r="15" spans="2:10" x14ac:dyDescent="0.35">
      <c r="E15">
        <v>130</v>
      </c>
      <c r="F15" s="1">
        <f t="shared" si="0"/>
        <v>31.008871615968598</v>
      </c>
      <c r="G15" s="1">
        <f t="shared" si="1"/>
        <v>0.92099871078943352</v>
      </c>
      <c r="H15" s="1">
        <f t="shared" si="2"/>
        <v>5.6638249645857286E-3</v>
      </c>
      <c r="I15" s="1">
        <f t="shared" si="3"/>
        <v>19.143746343228685</v>
      </c>
      <c r="J15" s="1">
        <f t="shared" si="4"/>
        <v>88.720959640564701</v>
      </c>
    </row>
    <row r="16" spans="2:10" x14ac:dyDescent="0.35">
      <c r="E16">
        <v>140</v>
      </c>
      <c r="F16" s="1">
        <f t="shared" si="0"/>
        <v>40.450032451908108</v>
      </c>
      <c r="G16" s="1">
        <f t="shared" si="1"/>
        <v>0.96265482447677186</v>
      </c>
      <c r="H16" s="1">
        <f t="shared" si="2"/>
        <v>2.9103830456733704E-3</v>
      </c>
      <c r="I16" s="1">
        <f t="shared" si="3"/>
        <v>11.407809595631591</v>
      </c>
      <c r="J16" s="1">
        <f t="shared" si="4"/>
        <v>94.321642176282694</v>
      </c>
    </row>
    <row r="17" spans="5:10" x14ac:dyDescent="0.35">
      <c r="E17">
        <v>150</v>
      </c>
      <c r="F17" s="1">
        <f t="shared" si="0"/>
        <v>50.192475323297067</v>
      </c>
      <c r="G17" s="1">
        <f t="shared" si="1"/>
        <v>0.98330347803710083</v>
      </c>
      <c r="H17" s="1">
        <f t="shared" si="2"/>
        <v>1.383249070840975E-3</v>
      </c>
      <c r="I17" s="1">
        <f t="shared" si="3"/>
        <v>6.2272820493447512</v>
      </c>
      <c r="J17" s="1">
        <f t="shared" si="4"/>
        <v>97.303045929990617</v>
      </c>
    </row>
    <row r="18" spans="5:10" x14ac:dyDescent="0.35">
      <c r="E18">
        <v>160</v>
      </c>
      <c r="F18" s="1">
        <f t="shared" si="0"/>
        <v>60.079597547965562</v>
      </c>
      <c r="G18" s="1">
        <f t="shared" si="1"/>
        <v>0.99285754920686031</v>
      </c>
      <c r="H18" s="1">
        <f t="shared" si="2"/>
        <v>6.1923799421492731E-4</v>
      </c>
      <c r="I18" s="1">
        <f t="shared" si="3"/>
        <v>3.1738374221745858</v>
      </c>
      <c r="J18" s="1">
        <f t="shared" si="4"/>
        <v>98.777610143088168</v>
      </c>
    </row>
    <row r="19" spans="5:10" x14ac:dyDescent="0.35">
      <c r="E19">
        <v>170</v>
      </c>
      <c r="F19" s="1">
        <f t="shared" si="0"/>
        <v>70.032056366164525</v>
      </c>
      <c r="G19" s="1">
        <f t="shared" si="1"/>
        <v>0.99704867885463955</v>
      </c>
      <c r="H19" s="1">
        <f t="shared" si="2"/>
        <v>2.6574298317427747E-4</v>
      </c>
      <c r="I19" s="1">
        <f t="shared" si="3"/>
        <v>1.5326031522988615</v>
      </c>
      <c r="J19" s="1">
        <f t="shared" si="4"/>
        <v>99.466219023227609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E38"/>
  <sheetViews>
    <sheetView zoomScale="85" zoomScaleNormal="85" workbookViewId="0">
      <selection activeCell="G14" sqref="G14"/>
    </sheetView>
  </sheetViews>
  <sheetFormatPr defaultRowHeight="14.5" x14ac:dyDescent="0.35"/>
  <cols>
    <col min="4" max="4" width="9.54296875" bestFit="1" customWidth="1"/>
    <col min="5" max="5" width="11.54296875" bestFit="1" customWidth="1"/>
  </cols>
  <sheetData>
    <row r="2" spans="1:5" x14ac:dyDescent="0.35">
      <c r="C2" t="s">
        <v>13</v>
      </c>
      <c r="D2" t="s">
        <v>16</v>
      </c>
      <c r="E2" t="s">
        <v>15</v>
      </c>
    </row>
    <row r="3" spans="1:5" x14ac:dyDescent="0.35">
      <c r="A3" t="s">
        <v>2</v>
      </c>
      <c r="B3">
        <v>0</v>
      </c>
      <c r="C3">
        <v>60</v>
      </c>
      <c r="D3" s="2">
        <f>BlackCallPrice($C3,$B$3,$B$4,$B$5,$B$7,$B$6)</f>
        <v>2.6111811907240604E-2</v>
      </c>
      <c r="E3" s="2">
        <f>$D$11+$D$31*(C3-$C$11)</f>
        <v>-13.627546053394092</v>
      </c>
    </row>
    <row r="4" spans="1:5" x14ac:dyDescent="0.35">
      <c r="A4" t="s">
        <v>3</v>
      </c>
      <c r="B4">
        <v>0</v>
      </c>
      <c r="C4">
        <v>65</v>
      </c>
      <c r="D4" s="2">
        <f t="shared" ref="D4:D19" si="0">BlackCallPrice($C4,$B$3,$B$4,$B$5,$B$7,$B$6)</f>
        <v>8.9401584110823468E-2</v>
      </c>
      <c r="E4" s="2">
        <f t="shared" ref="E4:E10" si="1">$D$11+$D$31*(C4-$C$11)</f>
        <v>-10.928406864794106</v>
      </c>
    </row>
    <row r="5" spans="1:5" x14ac:dyDescent="0.35">
      <c r="A5" t="s">
        <v>4</v>
      </c>
      <c r="B5">
        <v>0.2</v>
      </c>
      <c r="C5">
        <v>70</v>
      </c>
      <c r="D5" s="2">
        <f t="shared" si="0"/>
        <v>0.24810989689245078</v>
      </c>
      <c r="E5" s="2">
        <f t="shared" si="1"/>
        <v>-8.2292676761941195</v>
      </c>
    </row>
    <row r="6" spans="1:5" x14ac:dyDescent="0.35">
      <c r="A6" t="s">
        <v>1</v>
      </c>
      <c r="B6">
        <v>100</v>
      </c>
      <c r="C6">
        <v>75</v>
      </c>
      <c r="D6" s="2">
        <f t="shared" si="0"/>
        <v>0.58118584627555414</v>
      </c>
      <c r="E6" s="2">
        <f t="shared" si="1"/>
        <v>-5.5301284875941326</v>
      </c>
    </row>
    <row r="7" spans="1:5" x14ac:dyDescent="0.35">
      <c r="A7" t="s">
        <v>5</v>
      </c>
      <c r="B7">
        <v>1</v>
      </c>
      <c r="C7">
        <v>80</v>
      </c>
      <c r="D7" s="2">
        <f t="shared" si="0"/>
        <v>1.1859295132104275</v>
      </c>
      <c r="E7" s="2">
        <f t="shared" si="1"/>
        <v>-2.8309892989941465</v>
      </c>
    </row>
    <row r="8" spans="1:5" x14ac:dyDescent="0.35">
      <c r="C8">
        <v>85</v>
      </c>
      <c r="D8" s="2">
        <f t="shared" si="0"/>
        <v>2.161318033422138</v>
      </c>
      <c r="E8" s="2">
        <f t="shared" si="1"/>
        <v>-0.1318501103941605</v>
      </c>
    </row>
    <row r="9" spans="1:5" x14ac:dyDescent="0.35">
      <c r="C9">
        <v>90</v>
      </c>
      <c r="D9" s="2">
        <f t="shared" si="0"/>
        <v>3.5891081160547964</v>
      </c>
      <c r="E9" s="2">
        <f t="shared" si="1"/>
        <v>2.5672890782058255</v>
      </c>
    </row>
    <row r="10" spans="1:5" x14ac:dyDescent="0.35">
      <c r="C10">
        <v>95</v>
      </c>
      <c r="D10" s="2">
        <f t="shared" si="0"/>
        <v>5.5195410636769733</v>
      </c>
      <c r="E10" s="2">
        <f t="shared" si="1"/>
        <v>5.2664282668058116</v>
      </c>
    </row>
    <row r="11" spans="1:5" x14ac:dyDescent="0.35">
      <c r="C11">
        <v>100</v>
      </c>
      <c r="D11" s="4">
        <f t="shared" si="0"/>
        <v>7.9655674554057976</v>
      </c>
      <c r="E11" s="2">
        <f>$D$11+$D$31*(C11-$C$11)</f>
        <v>7.9655674554057976</v>
      </c>
    </row>
    <row r="12" spans="1:5" x14ac:dyDescent="0.35">
      <c r="C12">
        <v>105</v>
      </c>
      <c r="D12" s="2">
        <f t="shared" si="0"/>
        <v>10.905593471555495</v>
      </c>
      <c r="E12" s="2">
        <f t="shared" ref="E12:E19" si="2">$D$11+$D$31*(C12-$C$11)</f>
        <v>10.664706644005783</v>
      </c>
    </row>
    <row r="13" spans="1:5" x14ac:dyDescent="0.35">
      <c r="C13">
        <v>110</v>
      </c>
      <c r="D13" s="2">
        <f t="shared" si="0"/>
        <v>14.292010941409888</v>
      </c>
      <c r="E13" s="2">
        <f t="shared" si="2"/>
        <v>13.363845832605769</v>
      </c>
    </row>
    <row r="14" spans="1:5" x14ac:dyDescent="0.35">
      <c r="C14">
        <v>115</v>
      </c>
      <c r="D14" s="2">
        <f t="shared" si="0"/>
        <v>18.061945659744509</v>
      </c>
      <c r="E14" s="2">
        <f t="shared" si="2"/>
        <v>16.062985021205755</v>
      </c>
    </row>
    <row r="15" spans="1:5" x14ac:dyDescent="0.35">
      <c r="C15">
        <v>120</v>
      </c>
      <c r="D15" s="2">
        <f t="shared" si="0"/>
        <v>22.147298810578143</v>
      </c>
      <c r="E15" s="2">
        <f t="shared" si="2"/>
        <v>18.762124209805741</v>
      </c>
    </row>
    <row r="16" spans="1:5" x14ac:dyDescent="0.35">
      <c r="C16">
        <v>125</v>
      </c>
      <c r="D16" s="2">
        <f t="shared" si="0"/>
        <v>26.482411891513028</v>
      </c>
      <c r="E16" s="2">
        <f t="shared" si="2"/>
        <v>21.461263398405727</v>
      </c>
    </row>
    <row r="17" spans="3:5" x14ac:dyDescent="0.35">
      <c r="C17">
        <v>130</v>
      </c>
      <c r="D17" s="2">
        <f t="shared" si="0"/>
        <v>31.008871615968598</v>
      </c>
      <c r="E17" s="2">
        <f t="shared" si="2"/>
        <v>24.160402587005713</v>
      </c>
    </row>
    <row r="18" spans="3:5" x14ac:dyDescent="0.35">
      <c r="C18">
        <v>135</v>
      </c>
      <c r="D18" s="2">
        <f t="shared" si="0"/>
        <v>35.677761953340045</v>
      </c>
      <c r="E18" s="2">
        <f t="shared" si="2"/>
        <v>26.859541775605699</v>
      </c>
    </row>
    <row r="19" spans="3:5" x14ac:dyDescent="0.35">
      <c r="C19">
        <v>140</v>
      </c>
      <c r="D19" s="2">
        <f t="shared" si="0"/>
        <v>40.450032451908108</v>
      </c>
      <c r="E19" s="2">
        <f t="shared" si="2"/>
        <v>29.558680964205685</v>
      </c>
    </row>
    <row r="21" spans="3:5" x14ac:dyDescent="0.35">
      <c r="C21" t="s">
        <v>14</v>
      </c>
      <c r="D21">
        <v>1</v>
      </c>
    </row>
    <row r="22" spans="3:5" x14ac:dyDescent="0.35">
      <c r="C22">
        <v>10</v>
      </c>
      <c r="D22" s="2">
        <f>BlackCallDelta($C22,$B$3,$B$4,$B$5,$B$7,$B$6,0.00001)</f>
        <v>1.8020027748469173E-30</v>
      </c>
    </row>
    <row r="23" spans="3:5" x14ac:dyDescent="0.35">
      <c r="C23">
        <v>20</v>
      </c>
      <c r="D23" s="2">
        <f t="shared" ref="D23:D38" si="3">BlackCallDelta($C23,$B$3,$B$4,$B$5,$B$7,$B$6,0.00001)</f>
        <v>9.5395174636530773E-16</v>
      </c>
    </row>
    <row r="24" spans="3:5" x14ac:dyDescent="0.35">
      <c r="C24">
        <v>30</v>
      </c>
      <c r="D24" s="2">
        <f t="shared" si="3"/>
        <v>1.6110395250685004E-9</v>
      </c>
    </row>
    <row r="25" spans="3:5" x14ac:dyDescent="0.35">
      <c r="C25">
        <v>40</v>
      </c>
      <c r="D25" s="2">
        <f t="shared" si="3"/>
        <v>3.7068165896694128E-6</v>
      </c>
    </row>
    <row r="26" spans="3:5" x14ac:dyDescent="0.35">
      <c r="C26">
        <v>50</v>
      </c>
      <c r="D26" s="2">
        <f t="shared" si="3"/>
        <v>3.8169879870209896E-4</v>
      </c>
    </row>
    <row r="27" spans="3:5" x14ac:dyDescent="0.35">
      <c r="C27">
        <v>60</v>
      </c>
      <c r="D27" s="2">
        <f t="shared" si="3"/>
        <v>7.0613327619178925E-3</v>
      </c>
    </row>
    <row r="28" spans="3:5" x14ac:dyDescent="0.35">
      <c r="C28">
        <v>70</v>
      </c>
      <c r="D28" s="2">
        <f t="shared" si="3"/>
        <v>4.6151286993423295E-2</v>
      </c>
    </row>
    <row r="29" spans="3:5" x14ac:dyDescent="0.35">
      <c r="C29">
        <v>80</v>
      </c>
      <c r="D29" s="2">
        <f t="shared" si="3"/>
        <v>0.15488190503454291</v>
      </c>
    </row>
    <row r="30" spans="3:5" x14ac:dyDescent="0.35">
      <c r="C30">
        <v>90</v>
      </c>
      <c r="D30" s="2">
        <f t="shared" si="3"/>
        <v>0.33476156431344606</v>
      </c>
    </row>
    <row r="31" spans="3:5" x14ac:dyDescent="0.35">
      <c r="C31">
        <v>100</v>
      </c>
      <c r="D31" s="4">
        <f t="shared" si="3"/>
        <v>0.53982783771999721</v>
      </c>
    </row>
    <row r="32" spans="3:5" x14ac:dyDescent="0.35">
      <c r="C32">
        <v>110</v>
      </c>
      <c r="D32" s="2">
        <f t="shared" si="3"/>
        <v>0.71787856237293102</v>
      </c>
    </row>
    <row r="33" spans="3:4" x14ac:dyDescent="0.35">
      <c r="C33">
        <v>120</v>
      </c>
      <c r="D33" s="2">
        <f t="shared" si="3"/>
        <v>0.84413718859366316</v>
      </c>
    </row>
    <row r="34" spans="3:4" x14ac:dyDescent="0.35">
      <c r="C34">
        <v>130</v>
      </c>
      <c r="D34" s="2">
        <f t="shared" si="3"/>
        <v>0.92099871125128618</v>
      </c>
    </row>
    <row r="35" spans="3:4" x14ac:dyDescent="0.35">
      <c r="C35">
        <v>140</v>
      </c>
      <c r="D35" s="2">
        <f t="shared" si="3"/>
        <v>0.96265482447677175</v>
      </c>
    </row>
    <row r="36" spans="3:4" x14ac:dyDescent="0.35">
      <c r="C36">
        <v>150</v>
      </c>
      <c r="D36" s="2">
        <f t="shared" si="3"/>
        <v>0.98330347846342636</v>
      </c>
    </row>
    <row r="37" spans="3:4" x14ac:dyDescent="0.35">
      <c r="C37">
        <v>160</v>
      </c>
      <c r="D37" s="2">
        <f t="shared" si="3"/>
        <v>0.99285755013056576</v>
      </c>
    </row>
    <row r="38" spans="3:4" x14ac:dyDescent="0.35">
      <c r="C38">
        <v>170</v>
      </c>
      <c r="D38" s="2">
        <f t="shared" si="3"/>
        <v>0.99704867864147662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81"/>
  <sheetViews>
    <sheetView zoomScale="85" zoomScaleNormal="85" workbookViewId="0">
      <selection activeCell="G19" sqref="G19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</row>
    <row r="3" spans="2:12" x14ac:dyDescent="0.35">
      <c r="B3" t="s">
        <v>2</v>
      </c>
      <c r="C3">
        <v>0</v>
      </c>
      <c r="E3">
        <v>10</v>
      </c>
      <c r="F3" s="3">
        <f t="shared" ref="F3:J12" si="0">BlackCallDelta($E3,$C$3,$C$4,$C$5,F$2,$C$6,$C$8)</f>
        <v>5.2050244341902374E-290</v>
      </c>
      <c r="G3" s="3">
        <f t="shared" si="0"/>
        <v>6.0025715719101411E-146</v>
      </c>
      <c r="H3" s="3">
        <f t="shared" si="0"/>
        <v>2.1074121738706775E-59</v>
      </c>
      <c r="I3" s="3">
        <f t="shared" si="0"/>
        <v>1.8020028663081354E-30</v>
      </c>
      <c r="J3" s="3">
        <f t="shared" si="0"/>
        <v>6.2489965559876438E-16</v>
      </c>
      <c r="K3" s="3"/>
      <c r="L3" s="3"/>
    </row>
    <row r="4" spans="2:12" x14ac:dyDescent="0.35">
      <c r="B4" t="s">
        <v>3</v>
      </c>
      <c r="C4">
        <v>0</v>
      </c>
      <c r="E4">
        <v>20</v>
      </c>
      <c r="F4" s="3">
        <f t="shared" si="0"/>
        <v>8.4294878820242117E-143</v>
      </c>
      <c r="G4" s="3">
        <f t="shared" si="0"/>
        <v>2.4281364969634987E-72</v>
      </c>
      <c r="H4" s="3">
        <f t="shared" si="0"/>
        <v>5.8722557714026929E-30</v>
      </c>
      <c r="I4" s="3">
        <f t="shared" si="0"/>
        <v>9.5395176708178118E-16</v>
      </c>
      <c r="J4" s="3">
        <f t="shared" si="0"/>
        <v>1.4381771034952595E-8</v>
      </c>
      <c r="K4" s="3"/>
      <c r="L4" s="3"/>
    </row>
    <row r="5" spans="2:12" x14ac:dyDescent="0.35">
      <c r="B5" t="s">
        <v>4</v>
      </c>
      <c r="C5">
        <v>0.2</v>
      </c>
      <c r="E5">
        <v>30</v>
      </c>
      <c r="F5" s="3">
        <f t="shared" si="0"/>
        <v>7.7732002459270927E-81</v>
      </c>
      <c r="G5" s="3">
        <f t="shared" si="0"/>
        <v>2.4331657604483834E-41</v>
      </c>
      <c r="H5" s="3">
        <f t="shared" si="0"/>
        <v>1.5509465988538267E-17</v>
      </c>
      <c r="I5" s="3">
        <f t="shared" si="0"/>
        <v>1.6110395464149303E-9</v>
      </c>
      <c r="J5" s="3">
        <f t="shared" si="0"/>
        <v>1.9336715512962579E-5</v>
      </c>
      <c r="K5" s="3"/>
      <c r="L5" s="3"/>
    </row>
    <row r="6" spans="2:12" x14ac:dyDescent="0.35">
      <c r="B6" t="s">
        <v>1</v>
      </c>
      <c r="C6">
        <v>100</v>
      </c>
      <c r="E6">
        <v>40</v>
      </c>
      <c r="F6" s="3">
        <f t="shared" si="0"/>
        <v>1.1454128566350342E-47</v>
      </c>
      <c r="G6" s="3">
        <f t="shared" si="0"/>
        <v>9.9421996198360958E-25</v>
      </c>
      <c r="H6" s="3">
        <f t="shared" si="0"/>
        <v>7.3506503760916561E-11</v>
      </c>
      <c r="I6" s="3">
        <f t="shared" si="0"/>
        <v>3.7068165958527538E-6</v>
      </c>
      <c r="J6" s="3">
        <f t="shared" si="0"/>
        <v>9.7364580934570372E-4</v>
      </c>
      <c r="K6" s="3"/>
      <c r="L6" s="3"/>
    </row>
    <row r="7" spans="2:12" x14ac:dyDescent="0.35">
      <c r="E7">
        <v>50</v>
      </c>
      <c r="F7" s="3">
        <f t="shared" si="0"/>
        <v>4.2348914453673795E-28</v>
      </c>
      <c r="G7" s="3">
        <f t="shared" si="0"/>
        <v>6.5473043583269023E-15</v>
      </c>
      <c r="H7" s="3">
        <f t="shared" si="0"/>
        <v>6.806793744588183E-7</v>
      </c>
      <c r="I7" s="3">
        <f t="shared" si="0"/>
        <v>3.8169879870480952E-4</v>
      </c>
      <c r="J7" s="3">
        <f t="shared" si="0"/>
        <v>1.0465577152847516E-2</v>
      </c>
      <c r="K7" s="3"/>
      <c r="L7" s="3"/>
    </row>
    <row r="8" spans="2:12" x14ac:dyDescent="0.35">
      <c r="B8" t="s">
        <v>12</v>
      </c>
      <c r="C8">
        <v>1E-4</v>
      </c>
      <c r="E8">
        <v>60</v>
      </c>
      <c r="F8" s="3">
        <f t="shared" si="0"/>
        <v>4.3038453156046003E-16</v>
      </c>
      <c r="G8" s="3">
        <f t="shared" si="0"/>
        <v>7.2879254326155048E-9</v>
      </c>
      <c r="H8" s="3">
        <f t="shared" si="0"/>
        <v>1.9902600926238702E-4</v>
      </c>
      <c r="I8" s="3">
        <f t="shared" si="0"/>
        <v>7.0613327361399025E-3</v>
      </c>
      <c r="J8" s="3">
        <f t="shared" si="0"/>
        <v>4.7994300642895116E-2</v>
      </c>
      <c r="K8" s="3"/>
      <c r="L8" s="3"/>
    </row>
    <row r="9" spans="2:12" x14ac:dyDescent="0.35">
      <c r="E9">
        <v>70</v>
      </c>
      <c r="F9" s="3">
        <f t="shared" si="0"/>
        <v>1.0239621844767987E-8</v>
      </c>
      <c r="G9" s="3">
        <f t="shared" si="0"/>
        <v>4.0230007498019118E-5</v>
      </c>
      <c r="H9" s="3">
        <f t="shared" si="0"/>
        <v>7.1158365574572335E-3</v>
      </c>
      <c r="I9" s="3">
        <f t="shared" si="0"/>
        <v>4.6151286998280527E-2</v>
      </c>
      <c r="J9" s="3">
        <f t="shared" si="0"/>
        <v>0.13143893004219365</v>
      </c>
      <c r="K9" s="3"/>
      <c r="L9" s="3"/>
    </row>
    <row r="10" spans="2:12" x14ac:dyDescent="0.35">
      <c r="E10">
        <v>80</v>
      </c>
      <c r="F10" s="3">
        <f t="shared" si="0"/>
        <v>2.356257886642287E-4</v>
      </c>
      <c r="G10" s="3">
        <f t="shared" si="0"/>
        <v>7.1408393840198536E-3</v>
      </c>
      <c r="H10" s="3">
        <f t="shared" si="0"/>
        <v>6.588578555843938E-2</v>
      </c>
      <c r="I10" s="3">
        <f t="shared" si="0"/>
        <v>0.15488190495460685</v>
      </c>
      <c r="J10" s="3">
        <f t="shared" si="0"/>
        <v>0.25865088618903798</v>
      </c>
      <c r="K10" s="3"/>
      <c r="L10" s="3"/>
    </row>
    <row r="11" spans="2:12" x14ac:dyDescent="0.35">
      <c r="E11">
        <v>90</v>
      </c>
      <c r="F11" s="3">
        <f t="shared" si="0"/>
        <v>5.110074416031507E-2</v>
      </c>
      <c r="G11" s="3">
        <f t="shared" si="0"/>
        <v>0.12855568732428324</v>
      </c>
      <c r="H11" s="3">
        <f t="shared" si="0"/>
        <v>0.25006008822270331</v>
      </c>
      <c r="I11" s="3">
        <f t="shared" si="0"/>
        <v>0.33476156420020331</v>
      </c>
      <c r="J11" s="3">
        <f t="shared" si="0"/>
        <v>0.40862464854019009</v>
      </c>
      <c r="K11" s="3"/>
      <c r="L11" s="3"/>
    </row>
    <row r="12" spans="2:12" x14ac:dyDescent="0.35">
      <c r="E12">
        <v>100</v>
      </c>
      <c r="F12" s="3">
        <f t="shared" si="0"/>
        <v>0.51261356035503525</v>
      </c>
      <c r="G12" s="3">
        <f t="shared" si="0"/>
        <v>0.51783529585014421</v>
      </c>
      <c r="H12" s="3">
        <f t="shared" si="0"/>
        <v>0.52818598885728818</v>
      </c>
      <c r="I12" s="3">
        <f t="shared" si="0"/>
        <v>0.53982783724038086</v>
      </c>
      <c r="J12" s="3">
        <f t="shared" si="0"/>
        <v>0.55623145800431928</v>
      </c>
      <c r="K12" s="3"/>
      <c r="L12" s="3"/>
    </row>
    <row r="13" spans="2:12" x14ac:dyDescent="0.35">
      <c r="E13">
        <v>110</v>
      </c>
      <c r="F13" s="3">
        <f t="shared" ref="F13:J19" si="1">BlackCallDelta($E13,$C$3,$C$4,$C$5,F$2,$C$6,$C$8)</f>
        <v>0.93805011472269939</v>
      </c>
      <c r="G13" s="3">
        <f t="shared" si="1"/>
        <v>0.86656975812005044</v>
      </c>
      <c r="H13" s="3">
        <f t="shared" si="1"/>
        <v>0.77175997303058352</v>
      </c>
      <c r="I13" s="3">
        <f t="shared" si="1"/>
        <v>0.71787856181337872</v>
      </c>
      <c r="J13" s="3">
        <f t="shared" si="1"/>
        <v>0.683815001831789</v>
      </c>
      <c r="K13" s="3"/>
      <c r="L13" s="3"/>
    </row>
    <row r="14" spans="2:12" x14ac:dyDescent="0.35">
      <c r="E14">
        <v>120</v>
      </c>
      <c r="F14" s="3">
        <f t="shared" si="1"/>
        <v>0.99821801937238774</v>
      </c>
      <c r="G14" s="3">
        <f t="shared" si="1"/>
        <v>0.98138069196451738</v>
      </c>
      <c r="H14" s="3">
        <f t="shared" si="1"/>
        <v>0.91307218472280738</v>
      </c>
      <c r="I14" s="3">
        <f t="shared" si="1"/>
        <v>0.84413718868248111</v>
      </c>
      <c r="J14" s="3">
        <f t="shared" si="1"/>
        <v>0.78407369729305287</v>
      </c>
      <c r="K14" s="3"/>
      <c r="L14" s="3"/>
    </row>
    <row r="15" spans="2:12" x14ac:dyDescent="0.35">
      <c r="E15">
        <v>130</v>
      </c>
      <c r="F15" s="3">
        <f t="shared" si="1"/>
        <v>0.99998542244961186</v>
      </c>
      <c r="G15" s="3">
        <f t="shared" si="1"/>
        <v>0.99854952367195438</v>
      </c>
      <c r="H15" s="3">
        <f t="shared" si="1"/>
        <v>0.97294195548158768</v>
      </c>
      <c r="I15" s="3">
        <f t="shared" si="1"/>
        <v>0.92099871078943352</v>
      </c>
      <c r="J15" s="3">
        <f t="shared" si="1"/>
        <v>0.85746947046771993</v>
      </c>
      <c r="K15" s="3"/>
      <c r="L15" s="3"/>
    </row>
    <row r="16" spans="2:12" x14ac:dyDescent="0.35">
      <c r="E16">
        <v>140</v>
      </c>
      <c r="F16" s="3">
        <f t="shared" si="1"/>
        <v>0.99999995647692685</v>
      </c>
      <c r="G16" s="3">
        <f t="shared" si="1"/>
        <v>0.99992955352234958</v>
      </c>
      <c r="H16" s="3">
        <f t="shared" si="1"/>
        <v>0.99285577437768779</v>
      </c>
      <c r="I16" s="3">
        <f t="shared" si="1"/>
        <v>0.96265482447677186</v>
      </c>
      <c r="J16" s="3">
        <f t="shared" si="1"/>
        <v>0.90841048876910691</v>
      </c>
      <c r="K16" s="3"/>
      <c r="L16" s="3"/>
    </row>
    <row r="17" spans="5:12" x14ac:dyDescent="0.35">
      <c r="E17">
        <v>150</v>
      </c>
      <c r="F17" s="3">
        <f t="shared" si="1"/>
        <v>0.99999999989108801</v>
      </c>
      <c r="G17" s="3">
        <f t="shared" si="1"/>
        <v>0.99999765243552474</v>
      </c>
      <c r="H17" s="3">
        <f t="shared" si="1"/>
        <v>0.99834715285851416</v>
      </c>
      <c r="I17" s="3">
        <f t="shared" si="1"/>
        <v>0.98330347803710083</v>
      </c>
      <c r="J17" s="3">
        <f t="shared" si="1"/>
        <v>0.94236681420056811</v>
      </c>
      <c r="K17" s="3"/>
      <c r="L17" s="3"/>
    </row>
    <row r="18" spans="5:12" x14ac:dyDescent="0.35">
      <c r="E18">
        <v>160</v>
      </c>
      <c r="F18" s="3">
        <f t="shared" si="1"/>
        <v>1.0000000000331966</v>
      </c>
      <c r="G18" s="3">
        <f t="shared" si="1"/>
        <v>0.99999994191080077</v>
      </c>
      <c r="H18" s="3">
        <f t="shared" si="1"/>
        <v>0.99965577536664796</v>
      </c>
      <c r="I18" s="3">
        <f t="shared" si="1"/>
        <v>0.99285754920686031</v>
      </c>
      <c r="J18" s="3">
        <f t="shared" si="1"/>
        <v>0.96431650199235719</v>
      </c>
      <c r="K18" s="3"/>
      <c r="L18" s="3"/>
    </row>
    <row r="19" spans="5:12" x14ac:dyDescent="0.35">
      <c r="E19">
        <v>170</v>
      </c>
      <c r="F19" s="3">
        <f t="shared" si="1"/>
        <v>1.0000000000331966</v>
      </c>
      <c r="G19" s="3">
        <f t="shared" si="1"/>
        <v>0.99999999889632818</v>
      </c>
      <c r="H19" s="3">
        <f t="shared" si="1"/>
        <v>0.99993403274822867</v>
      </c>
      <c r="I19" s="3">
        <f t="shared" si="1"/>
        <v>0.99704867885463955</v>
      </c>
      <c r="J19" s="3">
        <f t="shared" si="1"/>
        <v>0.97817704386216064</v>
      </c>
      <c r="K19" s="3"/>
      <c r="L19" s="3"/>
    </row>
    <row r="21" spans="5:12" x14ac:dyDescent="0.35">
      <c r="E21" t="s">
        <v>13</v>
      </c>
    </row>
    <row r="22" spans="5:12" x14ac:dyDescent="0.35">
      <c r="F22">
        <v>0.1</v>
      </c>
      <c r="G22">
        <v>0.2</v>
      </c>
      <c r="H22">
        <v>0.5</v>
      </c>
      <c r="I22">
        <v>1</v>
      </c>
      <c r="J22">
        <v>2</v>
      </c>
    </row>
    <row r="23" spans="5:12" x14ac:dyDescent="0.35">
      <c r="E23">
        <v>10</v>
      </c>
      <c r="F23" s="3">
        <f>BlackCallDelta($E23,$C$3,$C$4,$C$5,F$2,$C$6,$C$8)-1</f>
        <v>-1</v>
      </c>
      <c r="G23" s="3">
        <f>BlackCallDelta($E23,$C$3,$C$4,$C$5,G$2,$C$6,$C$8)-1</f>
        <v>-1</v>
      </c>
      <c r="H23" s="3">
        <f t="shared" ref="H23:J38" si="2">BlackCallDelta($E23,$C$3,$C$4,$C$5,H$2,$C$6,$C$8)-1</f>
        <v>-1</v>
      </c>
      <c r="I23" s="3">
        <f t="shared" si="2"/>
        <v>-1</v>
      </c>
      <c r="J23" s="3">
        <f t="shared" si="2"/>
        <v>-0.99999999999999933</v>
      </c>
    </row>
    <row r="24" spans="5:12" x14ac:dyDescent="0.35">
      <c r="E24">
        <v>20</v>
      </c>
      <c r="F24" s="3">
        <f t="shared" ref="F24:J39" si="3">BlackCallDelta($E24,$C$3,$C$4,$C$5,F$2,$C$6,$C$8)-1</f>
        <v>-1</v>
      </c>
      <c r="G24" s="3">
        <f t="shared" si="3"/>
        <v>-1</v>
      </c>
      <c r="H24" s="3">
        <f t="shared" si="2"/>
        <v>-1</v>
      </c>
      <c r="I24" s="3">
        <f t="shared" si="2"/>
        <v>-0.999999999999999</v>
      </c>
      <c r="J24" s="3">
        <f t="shared" si="2"/>
        <v>-0.999999985618229</v>
      </c>
    </row>
    <row r="25" spans="5:12" x14ac:dyDescent="0.35">
      <c r="E25">
        <v>30</v>
      </c>
      <c r="F25" s="3">
        <f t="shared" si="3"/>
        <v>-1</v>
      </c>
      <c r="G25" s="3">
        <f t="shared" si="3"/>
        <v>-1</v>
      </c>
      <c r="H25" s="3">
        <f t="shared" si="2"/>
        <v>-1</v>
      </c>
      <c r="I25" s="3">
        <f t="shared" si="2"/>
        <v>-0.99999999838896048</v>
      </c>
      <c r="J25" s="3">
        <f t="shared" si="2"/>
        <v>-0.99998066328448709</v>
      </c>
    </row>
    <row r="26" spans="5:12" x14ac:dyDescent="0.35">
      <c r="E26">
        <v>40</v>
      </c>
      <c r="F26" s="3">
        <f t="shared" si="3"/>
        <v>-1</v>
      </c>
      <c r="G26" s="3">
        <f t="shared" si="3"/>
        <v>-1</v>
      </c>
      <c r="H26" s="3">
        <f t="shared" si="2"/>
        <v>-0.99999999992649347</v>
      </c>
      <c r="I26" s="3">
        <f t="shared" si="2"/>
        <v>-0.99999629318340411</v>
      </c>
      <c r="J26" s="3">
        <f t="shared" si="2"/>
        <v>-0.99902635419065433</v>
      </c>
    </row>
    <row r="27" spans="5:12" x14ac:dyDescent="0.35">
      <c r="E27">
        <v>50</v>
      </c>
      <c r="F27" s="3">
        <f t="shared" si="3"/>
        <v>-1</v>
      </c>
      <c r="G27" s="3">
        <f t="shared" si="3"/>
        <v>-0.99999999999999345</v>
      </c>
      <c r="H27" s="3">
        <f t="shared" si="2"/>
        <v>-0.99999931932062558</v>
      </c>
      <c r="I27" s="3">
        <f t="shared" si="2"/>
        <v>-0.99961830120129525</v>
      </c>
      <c r="J27" s="3">
        <f t="shared" si="2"/>
        <v>-0.98953442284715254</v>
      </c>
    </row>
    <row r="28" spans="5:12" x14ac:dyDescent="0.35">
      <c r="E28">
        <v>60</v>
      </c>
      <c r="F28" s="3">
        <f t="shared" si="3"/>
        <v>-0.99999999999999956</v>
      </c>
      <c r="G28" s="3">
        <f t="shared" si="3"/>
        <v>-0.99999999271207451</v>
      </c>
      <c r="H28" s="3">
        <f t="shared" si="2"/>
        <v>-0.99980097399073764</v>
      </c>
      <c r="I28" s="3">
        <f t="shared" si="2"/>
        <v>-0.99293866726386004</v>
      </c>
      <c r="J28" s="3">
        <f t="shared" si="2"/>
        <v>-0.95200569935710488</v>
      </c>
    </row>
    <row r="29" spans="5:12" x14ac:dyDescent="0.35">
      <c r="E29">
        <v>70</v>
      </c>
      <c r="F29" s="3">
        <f t="shared" si="3"/>
        <v>-0.99999998976037818</v>
      </c>
      <c r="G29" s="3">
        <f t="shared" si="3"/>
        <v>-0.99995976999250202</v>
      </c>
      <c r="H29" s="3">
        <f t="shared" si="2"/>
        <v>-0.99288416344254271</v>
      </c>
      <c r="I29" s="3">
        <f t="shared" si="2"/>
        <v>-0.95384871300171947</v>
      </c>
      <c r="J29" s="3">
        <f t="shared" si="2"/>
        <v>-0.86856106995780635</v>
      </c>
    </row>
    <row r="30" spans="5:12" x14ac:dyDescent="0.35">
      <c r="E30">
        <v>80</v>
      </c>
      <c r="F30" s="3">
        <f t="shared" si="3"/>
        <v>-0.99976437421133579</v>
      </c>
      <c r="G30" s="3">
        <f t="shared" si="3"/>
        <v>-0.99285916061598012</v>
      </c>
      <c r="H30" s="3">
        <f t="shared" si="2"/>
        <v>-0.93411421444156062</v>
      </c>
      <c r="I30" s="3">
        <f t="shared" si="2"/>
        <v>-0.84511809504539315</v>
      </c>
      <c r="J30" s="3">
        <f t="shared" si="2"/>
        <v>-0.74134911381096202</v>
      </c>
    </row>
    <row r="31" spans="5:12" x14ac:dyDescent="0.35">
      <c r="E31">
        <v>90</v>
      </c>
      <c r="F31" s="3">
        <f t="shared" si="3"/>
        <v>-0.94889925583968493</v>
      </c>
      <c r="G31" s="3">
        <f t="shared" si="3"/>
        <v>-0.87144431267571676</v>
      </c>
      <c r="H31" s="3">
        <f t="shared" si="2"/>
        <v>-0.74993991177729669</v>
      </c>
      <c r="I31" s="3">
        <f t="shared" si="2"/>
        <v>-0.66523843579979669</v>
      </c>
      <c r="J31" s="3">
        <f t="shared" si="2"/>
        <v>-0.59137535145980991</v>
      </c>
    </row>
    <row r="32" spans="5:12" x14ac:dyDescent="0.35">
      <c r="E32">
        <v>100</v>
      </c>
      <c r="F32" s="3">
        <f t="shared" si="3"/>
        <v>-0.48738643964496475</v>
      </c>
      <c r="G32" s="3">
        <f t="shared" si="3"/>
        <v>-0.48216470414985579</v>
      </c>
      <c r="H32" s="3">
        <f t="shared" si="2"/>
        <v>-0.47181401114271182</v>
      </c>
      <c r="I32" s="3">
        <f t="shared" si="2"/>
        <v>-0.46017216275961914</v>
      </c>
      <c r="J32" s="3">
        <f t="shared" si="2"/>
        <v>-0.44376854199568072</v>
      </c>
    </row>
    <row r="33" spans="5:10" x14ac:dyDescent="0.35">
      <c r="E33">
        <v>110</v>
      </c>
      <c r="F33" s="3">
        <f t="shared" si="3"/>
        <v>-6.1949885277300609E-2</v>
      </c>
      <c r="G33" s="3">
        <f t="shared" si="3"/>
        <v>-0.13343024187994956</v>
      </c>
      <c r="H33" s="3">
        <f t="shared" si="2"/>
        <v>-0.22824002696941648</v>
      </c>
      <c r="I33" s="3">
        <f t="shared" si="2"/>
        <v>-0.28212143818662128</v>
      </c>
      <c r="J33" s="3">
        <f t="shared" si="2"/>
        <v>-0.316184998168211</v>
      </c>
    </row>
    <row r="34" spans="5:10" x14ac:dyDescent="0.35">
      <c r="E34">
        <v>120</v>
      </c>
      <c r="F34" s="3">
        <f t="shared" si="3"/>
        <v>-1.7819806276122563E-3</v>
      </c>
      <c r="G34" s="3">
        <f t="shared" si="3"/>
        <v>-1.8619308035482618E-2</v>
      </c>
      <c r="H34" s="3">
        <f t="shared" si="2"/>
        <v>-8.6927815277192622E-2</v>
      </c>
      <c r="I34" s="3">
        <f t="shared" si="2"/>
        <v>-0.15586281131751889</v>
      </c>
      <c r="J34" s="3">
        <f t="shared" si="2"/>
        <v>-0.21592630270694713</v>
      </c>
    </row>
    <row r="35" spans="5:10" x14ac:dyDescent="0.35">
      <c r="E35">
        <v>130</v>
      </c>
      <c r="F35" s="3">
        <f t="shared" si="3"/>
        <v>-1.4577550388139571E-5</v>
      </c>
      <c r="G35" s="3">
        <f t="shared" si="3"/>
        <v>-1.4504763280456245E-3</v>
      </c>
      <c r="H35" s="3">
        <f t="shared" si="2"/>
        <v>-2.7058044518412316E-2</v>
      </c>
      <c r="I35" s="3">
        <f t="shared" si="2"/>
        <v>-7.9001289210566483E-2</v>
      </c>
      <c r="J35" s="3">
        <f t="shared" si="2"/>
        <v>-0.14253052953228007</v>
      </c>
    </row>
    <row r="36" spans="5:10" x14ac:dyDescent="0.35">
      <c r="E36">
        <v>140</v>
      </c>
      <c r="F36" s="3">
        <f t="shared" si="3"/>
        <v>-4.352307314547943E-8</v>
      </c>
      <c r="G36" s="3">
        <f t="shared" si="3"/>
        <v>-7.0446477650421002E-5</v>
      </c>
      <c r="H36" s="3">
        <f t="shared" si="2"/>
        <v>-7.1442256223122058E-3</v>
      </c>
      <c r="I36" s="3">
        <f t="shared" si="2"/>
        <v>-3.7345175523228136E-2</v>
      </c>
      <c r="J36" s="3">
        <f t="shared" si="2"/>
        <v>-9.1589511230893095E-2</v>
      </c>
    </row>
    <row r="37" spans="5:10" x14ac:dyDescent="0.35">
      <c r="E37">
        <v>150</v>
      </c>
      <c r="F37" s="3">
        <f t="shared" si="3"/>
        <v>-1.0891199053730816E-10</v>
      </c>
      <c r="G37" s="3">
        <f t="shared" si="3"/>
        <v>-2.3475644752579683E-6</v>
      </c>
      <c r="H37" s="3">
        <f t="shared" si="2"/>
        <v>-1.6528471414858359E-3</v>
      </c>
      <c r="I37" s="3">
        <f t="shared" si="2"/>
        <v>-1.6696521962899169E-2</v>
      </c>
      <c r="J37" s="3">
        <f t="shared" si="2"/>
        <v>-5.7633185799431885E-2</v>
      </c>
    </row>
    <row r="38" spans="5:10" x14ac:dyDescent="0.35">
      <c r="E38">
        <v>160</v>
      </c>
      <c r="F38" s="3">
        <f t="shared" si="3"/>
        <v>3.3196556614711881E-11</v>
      </c>
      <c r="G38" s="3">
        <f t="shared" si="3"/>
        <v>-5.8089199228561483E-8</v>
      </c>
      <c r="H38" s="3">
        <f t="shared" si="2"/>
        <v>-3.4422463335204156E-4</v>
      </c>
      <c r="I38" s="3">
        <f t="shared" si="2"/>
        <v>-7.1424507931396874E-3</v>
      </c>
      <c r="J38" s="3">
        <f t="shared" si="2"/>
        <v>-3.5683498007642811E-2</v>
      </c>
    </row>
    <row r="39" spans="5:10" x14ac:dyDescent="0.35">
      <c r="E39">
        <v>170</v>
      </c>
      <c r="F39" s="3">
        <f t="shared" si="3"/>
        <v>3.3196556614711881E-11</v>
      </c>
      <c r="G39" s="3">
        <f t="shared" si="3"/>
        <v>-1.1036718206014484E-9</v>
      </c>
      <c r="H39" s="3">
        <f t="shared" si="3"/>
        <v>-6.5967251771326119E-5</v>
      </c>
      <c r="I39" s="3">
        <f t="shared" si="3"/>
        <v>-2.9513211453604526E-3</v>
      </c>
      <c r="J39" s="3">
        <f t="shared" si="3"/>
        <v>-2.1822956137839356E-2</v>
      </c>
    </row>
    <row r="42" spans="5:10" x14ac:dyDescent="0.35">
      <c r="E42" t="s">
        <v>17</v>
      </c>
    </row>
    <row r="43" spans="5:10" x14ac:dyDescent="0.35">
      <c r="F43">
        <v>80</v>
      </c>
      <c r="G43">
        <v>100</v>
      </c>
      <c r="H43">
        <v>120</v>
      </c>
    </row>
    <row r="44" spans="5:10" x14ac:dyDescent="0.35">
      <c r="E44">
        <v>10</v>
      </c>
      <c r="F44" s="3">
        <f>BlackCallDelta($E44,$C$3,$C$4,$C$5,1,F$43,$C$8)</f>
        <v>3.6268132353436671E-25</v>
      </c>
      <c r="G44" s="3">
        <f t="shared" ref="G44:H59" si="4">BlackCallDelta($E44,$C$3,$C$4,$C$5,1,G$43,$C$8)</f>
        <v>1.8020028663081354E-30</v>
      </c>
      <c r="H44" s="3">
        <f t="shared" si="4"/>
        <v>3.3414655358202205E-35</v>
      </c>
      <c r="I44" s="3"/>
      <c r="J44" s="3"/>
    </row>
    <row r="45" spans="5:10" x14ac:dyDescent="0.35">
      <c r="E45">
        <v>20</v>
      </c>
      <c r="F45" s="3">
        <f t="shared" ref="F45:H60" si="5">BlackCallDelta($E45,$C$3,$C$4,$C$5,1,F$43,$C$8)</f>
        <v>4.2023906119561423E-12</v>
      </c>
      <c r="G45" s="3">
        <f t="shared" si="4"/>
        <v>9.5395176708178118E-16</v>
      </c>
      <c r="H45" s="3">
        <f t="shared" si="4"/>
        <v>4.0441125327795341E-19</v>
      </c>
      <c r="I45" s="3"/>
      <c r="J45" s="3"/>
    </row>
    <row r="46" spans="5:10" x14ac:dyDescent="0.35">
      <c r="E46">
        <v>30</v>
      </c>
      <c r="F46" s="3">
        <f t="shared" si="5"/>
        <v>7.7706596615995724E-7</v>
      </c>
      <c r="G46" s="3">
        <f t="shared" si="4"/>
        <v>1.6110395464149303E-9</v>
      </c>
      <c r="H46" s="3">
        <f t="shared" si="4"/>
        <v>4.202390599994739E-12</v>
      </c>
      <c r="I46" s="3"/>
      <c r="J46" s="3"/>
    </row>
    <row r="47" spans="5:10" x14ac:dyDescent="0.35">
      <c r="E47">
        <v>40</v>
      </c>
      <c r="F47" s="3">
        <f t="shared" si="5"/>
        <v>3.8169879865493622E-4</v>
      </c>
      <c r="G47" s="3">
        <f t="shared" si="4"/>
        <v>3.7068165958527538E-6</v>
      </c>
      <c r="H47" s="3">
        <f t="shared" si="4"/>
        <v>3.4633626708631957E-8</v>
      </c>
      <c r="I47" s="3"/>
      <c r="J47" s="3"/>
    </row>
    <row r="48" spans="5:10" x14ac:dyDescent="0.35">
      <c r="E48">
        <v>50</v>
      </c>
      <c r="F48" s="3">
        <f t="shared" si="5"/>
        <v>1.2223896713042803E-2</v>
      </c>
      <c r="G48" s="3">
        <f t="shared" si="4"/>
        <v>3.8169879870480952E-4</v>
      </c>
      <c r="H48" s="3">
        <f t="shared" si="4"/>
        <v>9.456833915266619E-6</v>
      </c>
      <c r="I48" s="3"/>
      <c r="J48" s="3"/>
    </row>
    <row r="49" spans="5:10" x14ac:dyDescent="0.35">
      <c r="E49">
        <v>60</v>
      </c>
      <c r="F49" s="3">
        <f t="shared" si="5"/>
        <v>9.0381351418866718E-2</v>
      </c>
      <c r="G49" s="3">
        <f t="shared" si="4"/>
        <v>7.0613327361399025E-3</v>
      </c>
      <c r="H49" s="3">
        <f t="shared" si="4"/>
        <v>3.8169879861644704E-4</v>
      </c>
      <c r="I49" s="3"/>
      <c r="J49" s="3"/>
    </row>
    <row r="50" spans="5:10" x14ac:dyDescent="0.35">
      <c r="E50">
        <v>70</v>
      </c>
      <c r="F50" s="3">
        <f t="shared" si="5"/>
        <v>0.28513395994522739</v>
      </c>
      <c r="G50" s="3">
        <f t="shared" si="4"/>
        <v>4.6151286998280527E-2</v>
      </c>
      <c r="H50" s="3">
        <f t="shared" si="4"/>
        <v>4.7297867145773553E-3</v>
      </c>
      <c r="I50" s="3"/>
      <c r="J50" s="3"/>
    </row>
    <row r="51" spans="5:10" x14ac:dyDescent="0.35">
      <c r="E51">
        <v>80</v>
      </c>
      <c r="F51" s="3">
        <f t="shared" si="5"/>
        <v>0.53982783731143513</v>
      </c>
      <c r="G51" s="3">
        <f t="shared" si="4"/>
        <v>0.15488190495460685</v>
      </c>
      <c r="H51" s="3">
        <f t="shared" si="4"/>
        <v>2.6969536286863827E-2</v>
      </c>
      <c r="I51" s="3"/>
      <c r="J51" s="3"/>
    </row>
    <row r="52" spans="5:10" x14ac:dyDescent="0.35">
      <c r="E52">
        <v>90</v>
      </c>
      <c r="F52" s="3">
        <f t="shared" si="5"/>
        <v>0.7545616764392804</v>
      </c>
      <c r="G52" s="3">
        <f t="shared" si="4"/>
        <v>0.33476156420020331</v>
      </c>
      <c r="H52" s="3">
        <f t="shared" si="4"/>
        <v>9.038135141803405E-2</v>
      </c>
      <c r="I52" s="3"/>
      <c r="J52" s="3"/>
    </row>
    <row r="53" spans="5:10" x14ac:dyDescent="0.35">
      <c r="E53">
        <v>100</v>
      </c>
      <c r="F53" s="3">
        <f t="shared" si="5"/>
        <v>0.88795377124029073</v>
      </c>
      <c r="G53" s="3">
        <f t="shared" si="4"/>
        <v>0.53982783724038086</v>
      </c>
      <c r="H53" s="3">
        <f t="shared" si="4"/>
        <v>0.20850836163432973</v>
      </c>
      <c r="I53" s="3"/>
      <c r="J53" s="3"/>
    </row>
    <row r="54" spans="5:10" x14ac:dyDescent="0.35">
      <c r="E54">
        <v>110</v>
      </c>
      <c r="F54" s="3">
        <f t="shared" si="5"/>
        <v>0.95470261941343892</v>
      </c>
      <c r="G54" s="3">
        <f t="shared" si="4"/>
        <v>0.71787856181337872</v>
      </c>
      <c r="H54" s="3">
        <f t="shared" si="4"/>
        <v>0.36879108786358472</v>
      </c>
      <c r="I54" s="3"/>
      <c r="J54" s="3"/>
    </row>
    <row r="55" spans="5:10" x14ac:dyDescent="0.35">
      <c r="E55">
        <v>120</v>
      </c>
      <c r="F55" s="3">
        <f t="shared" si="5"/>
        <v>0.98330347800157369</v>
      </c>
      <c r="G55" s="3">
        <f t="shared" si="4"/>
        <v>0.84413718868248111</v>
      </c>
      <c r="H55" s="3">
        <f t="shared" si="4"/>
        <v>0.53982783725814443</v>
      </c>
      <c r="I55" s="3"/>
      <c r="J55" s="3"/>
    </row>
    <row r="56" spans="5:10" x14ac:dyDescent="0.35">
      <c r="E56">
        <v>130</v>
      </c>
      <c r="F56" s="3">
        <f t="shared" si="5"/>
        <v>0.99425674804365372</v>
      </c>
      <c r="G56" s="3">
        <f t="shared" si="4"/>
        <v>0.92099871078943352</v>
      </c>
      <c r="H56" s="3">
        <f t="shared" si="4"/>
        <v>0.69153763685214642</v>
      </c>
      <c r="I56" s="3"/>
      <c r="J56" s="3"/>
    </row>
    <row r="57" spans="5:10" x14ac:dyDescent="0.35">
      <c r="E57">
        <v>140</v>
      </c>
      <c r="F57" s="3">
        <f t="shared" si="5"/>
        <v>0.9981227196931286</v>
      </c>
      <c r="G57" s="3">
        <f t="shared" si="4"/>
        <v>0.96265482447677186</v>
      </c>
      <c r="H57" s="3">
        <f t="shared" si="4"/>
        <v>0.80805559250052283</v>
      </c>
      <c r="I57" s="3"/>
      <c r="J57" s="3"/>
    </row>
    <row r="58" spans="5:10" x14ac:dyDescent="0.35">
      <c r="E58">
        <v>150</v>
      </c>
      <c r="F58" s="3">
        <f t="shared" si="5"/>
        <v>0.99940869880299488</v>
      </c>
      <c r="G58" s="3">
        <f t="shared" si="4"/>
        <v>0.98330347803710083</v>
      </c>
      <c r="H58" s="3">
        <f t="shared" si="4"/>
        <v>0.88795377129358144</v>
      </c>
      <c r="I58" s="3"/>
      <c r="J58" s="3"/>
    </row>
    <row r="59" spans="5:10" x14ac:dyDescent="0.35">
      <c r="E59">
        <v>160</v>
      </c>
      <c r="F59" s="3">
        <f t="shared" si="5"/>
        <v>0.99981858170394844</v>
      </c>
      <c r="G59" s="3">
        <f t="shared" si="4"/>
        <v>0.99285754920686031</v>
      </c>
      <c r="H59" s="3">
        <f t="shared" si="4"/>
        <v>0.93802584487434615</v>
      </c>
      <c r="I59" s="3"/>
      <c r="J59" s="3"/>
    </row>
    <row r="60" spans="5:10" x14ac:dyDescent="0.35">
      <c r="E60">
        <v>170</v>
      </c>
      <c r="F60" s="3">
        <f t="shared" si="5"/>
        <v>0.99994532710923067</v>
      </c>
      <c r="G60" s="3">
        <f t="shared" si="5"/>
        <v>0.99704867885463955</v>
      </c>
      <c r="H60" s="3">
        <f t="shared" si="5"/>
        <v>0.96722828985207343</v>
      </c>
      <c r="I60" s="3"/>
      <c r="J60" s="3"/>
    </row>
    <row r="63" spans="5:10" x14ac:dyDescent="0.35">
      <c r="E63" t="s">
        <v>18</v>
      </c>
    </row>
    <row r="64" spans="5:10" x14ac:dyDescent="0.35">
      <c r="F64">
        <v>0.2</v>
      </c>
      <c r="G64">
        <v>0.3</v>
      </c>
      <c r="H64">
        <v>0.4</v>
      </c>
    </row>
    <row r="65" spans="5:8" x14ac:dyDescent="0.35">
      <c r="E65">
        <v>10</v>
      </c>
      <c r="F65" s="3">
        <f>BlackCallDelta($E65,$C$3,$C$4,F$64,1,100,$C$8)</f>
        <v>1.8020028663081354E-30</v>
      </c>
      <c r="G65" s="3">
        <f>BlackCallDelta($E65,$C$3,$C$4,G$64,1,100,$C$8)</f>
        <v>2.6302998592953675E-14</v>
      </c>
      <c r="H65" s="3">
        <f t="shared" ref="H65:H80" si="6">BlackCallDelta($E65,$C$3,$C$4,H$64,1,100,$C$8)</f>
        <v>1.3764823268804501E-8</v>
      </c>
    </row>
    <row r="66" spans="5:8" x14ac:dyDescent="0.35">
      <c r="E66">
        <v>20</v>
      </c>
      <c r="F66" s="3">
        <f t="shared" ref="F66:H81" si="7">BlackCallDelta($E66,$C$3,$C$4,F$64,1,100,$C$8)</f>
        <v>9.5395176708178118E-16</v>
      </c>
      <c r="G66" s="3">
        <f t="shared" si="7"/>
        <v>9.2011287452209819E-8</v>
      </c>
      <c r="H66" s="3">
        <f t="shared" si="6"/>
        <v>6.5760000331920899E-5</v>
      </c>
    </row>
    <row r="67" spans="5:8" x14ac:dyDescent="0.35">
      <c r="E67">
        <v>30</v>
      </c>
      <c r="F67" s="3">
        <f t="shared" si="7"/>
        <v>1.6110395464149303E-9</v>
      </c>
      <c r="G67" s="3">
        <f t="shared" si="7"/>
        <v>5.5945874538075916E-5</v>
      </c>
      <c r="H67" s="3">
        <f t="shared" si="6"/>
        <v>2.4775983284864439E-3</v>
      </c>
    </row>
    <row r="68" spans="5:8" x14ac:dyDescent="0.35">
      <c r="E68">
        <v>40</v>
      </c>
      <c r="F68" s="3">
        <f t="shared" si="7"/>
        <v>3.7068165958527538E-6</v>
      </c>
      <c r="G68" s="3">
        <f t="shared" si="7"/>
        <v>1.8403620771507284E-3</v>
      </c>
      <c r="H68" s="3">
        <f t="shared" si="6"/>
        <v>1.827627925020392E-2</v>
      </c>
    </row>
    <row r="69" spans="5:8" x14ac:dyDescent="0.35">
      <c r="E69">
        <v>50</v>
      </c>
      <c r="F69" s="3">
        <f t="shared" si="7"/>
        <v>3.8169879870480952E-4</v>
      </c>
      <c r="G69" s="3">
        <f t="shared" si="7"/>
        <v>1.5367355189477294E-2</v>
      </c>
      <c r="H69" s="3">
        <f t="shared" si="6"/>
        <v>6.2654196885392199E-2</v>
      </c>
    </row>
    <row r="70" spans="5:8" x14ac:dyDescent="0.35">
      <c r="E70">
        <v>60</v>
      </c>
      <c r="F70" s="3">
        <f t="shared" si="7"/>
        <v>7.0613327361399025E-3</v>
      </c>
      <c r="G70" s="3">
        <f t="shared" si="7"/>
        <v>6.0241187574416877E-2</v>
      </c>
      <c r="H70" s="3">
        <f t="shared" si="6"/>
        <v>0.14072582407709255</v>
      </c>
    </row>
    <row r="71" spans="5:8" x14ac:dyDescent="0.35">
      <c r="E71">
        <v>70</v>
      </c>
      <c r="F71" s="3">
        <f t="shared" si="7"/>
        <v>4.6151286998280527E-2</v>
      </c>
      <c r="G71" s="3">
        <f t="shared" si="7"/>
        <v>0.14942179066168571</v>
      </c>
      <c r="H71" s="3">
        <f t="shared" si="6"/>
        <v>0.24456684333040712</v>
      </c>
    </row>
    <row r="72" spans="5:8" x14ac:dyDescent="0.35">
      <c r="E72">
        <v>80</v>
      </c>
      <c r="F72" s="3">
        <f t="shared" si="7"/>
        <v>0.15488190495460685</v>
      </c>
      <c r="G72" s="3">
        <f t="shared" si="7"/>
        <v>0.27631898531055299</v>
      </c>
      <c r="H72" s="3">
        <f t="shared" si="6"/>
        <v>0.36022446291639199</v>
      </c>
    </row>
    <row r="73" spans="5:8" x14ac:dyDescent="0.35">
      <c r="E73">
        <v>90</v>
      </c>
      <c r="F73" s="3">
        <f t="shared" si="7"/>
        <v>0.33476156420020331</v>
      </c>
      <c r="G73" s="3">
        <f t="shared" si="7"/>
        <v>0.4202704237687982</v>
      </c>
      <c r="H73" s="3">
        <f t="shared" si="6"/>
        <v>0.47472348039256929</v>
      </c>
    </row>
    <row r="74" spans="5:8" x14ac:dyDescent="0.35">
      <c r="E74">
        <v>100</v>
      </c>
      <c r="F74" s="3">
        <f t="shared" si="7"/>
        <v>0.53982783724038086</v>
      </c>
      <c r="G74" s="3">
        <f t="shared" si="7"/>
        <v>0.55961769239054604</v>
      </c>
      <c r="H74" s="3">
        <f t="shared" si="6"/>
        <v>0.57925970946115513</v>
      </c>
    </row>
    <row r="75" spans="5:8" x14ac:dyDescent="0.35">
      <c r="E75">
        <v>110</v>
      </c>
      <c r="F75" s="3">
        <f t="shared" si="7"/>
        <v>0.71787856181337872</v>
      </c>
      <c r="G75" s="3">
        <f t="shared" si="7"/>
        <v>0.68000064382900405</v>
      </c>
      <c r="H75" s="3">
        <f t="shared" si="6"/>
        <v>0.66940668979498241</v>
      </c>
    </row>
    <row r="76" spans="5:8" x14ac:dyDescent="0.35">
      <c r="E76">
        <v>120</v>
      </c>
      <c r="F76" s="3">
        <f t="shared" si="7"/>
        <v>0.84413718868248111</v>
      </c>
      <c r="G76" s="3">
        <f t="shared" si="7"/>
        <v>0.77569623377016228</v>
      </c>
      <c r="H76" s="3">
        <f t="shared" si="6"/>
        <v>0.74402484406377312</v>
      </c>
    </row>
    <row r="77" spans="5:8" x14ac:dyDescent="0.35">
      <c r="E77">
        <v>130</v>
      </c>
      <c r="F77" s="3">
        <f t="shared" si="7"/>
        <v>0.92099871078943352</v>
      </c>
      <c r="G77" s="3">
        <f t="shared" si="7"/>
        <v>0.8472116378399619</v>
      </c>
      <c r="H77" s="3">
        <f t="shared" si="6"/>
        <v>0.80397640125795533</v>
      </c>
    </row>
    <row r="78" spans="5:8" x14ac:dyDescent="0.35">
      <c r="E78">
        <v>140</v>
      </c>
      <c r="F78" s="3">
        <f t="shared" si="7"/>
        <v>0.96265482447677186</v>
      </c>
      <c r="G78" s="3">
        <f t="shared" si="7"/>
        <v>0.89823776196595873</v>
      </c>
      <c r="H78" s="3">
        <f t="shared" si="6"/>
        <v>0.85110412928912638</v>
      </c>
    </row>
    <row r="79" spans="5:8" x14ac:dyDescent="0.35">
      <c r="E79">
        <v>150</v>
      </c>
      <c r="F79" s="3">
        <f t="shared" si="7"/>
        <v>0.98330347803710083</v>
      </c>
      <c r="G79" s="3">
        <f t="shared" si="7"/>
        <v>0.9333933643773662</v>
      </c>
      <c r="H79" s="3">
        <f t="shared" si="6"/>
        <v>0.88756173667547955</v>
      </c>
    </row>
    <row r="80" spans="5:8" x14ac:dyDescent="0.35">
      <c r="E80">
        <v>160</v>
      </c>
      <c r="F80" s="3">
        <f t="shared" si="7"/>
        <v>0.99285754920686031</v>
      </c>
      <c r="G80" s="3">
        <f t="shared" si="7"/>
        <v>0.95698105880615003</v>
      </c>
      <c r="H80" s="3">
        <f t="shared" si="6"/>
        <v>0.91543568409235831</v>
      </c>
    </row>
    <row r="81" spans="5:8" x14ac:dyDescent="0.35">
      <c r="E81">
        <v>170</v>
      </c>
      <c r="F81" s="3">
        <f t="shared" si="7"/>
        <v>0.99704867885463955</v>
      </c>
      <c r="G81" s="3">
        <f t="shared" si="7"/>
        <v>0.97249269593646659</v>
      </c>
      <c r="H81" s="3">
        <f t="shared" si="7"/>
        <v>0.93656609230663435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38"/>
  <sheetViews>
    <sheetView workbookViewId="0">
      <selection activeCell="G10" sqref="G10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2" spans="2:12" x14ac:dyDescent="0.35">
      <c r="E2" t="s">
        <v>13</v>
      </c>
      <c r="F2">
        <v>0.05</v>
      </c>
      <c r="G2">
        <v>0.1</v>
      </c>
      <c r="H2">
        <v>2</v>
      </c>
    </row>
    <row r="3" spans="2:12" x14ac:dyDescent="0.35">
      <c r="B3" t="s">
        <v>2</v>
      </c>
      <c r="C3">
        <v>0</v>
      </c>
      <c r="E3">
        <v>10</v>
      </c>
      <c r="F3" s="2">
        <f>BlackCallGamma($E3,$C$3,$C$4,$C$5,F$2,$C$6,$C$8)</f>
        <v>0</v>
      </c>
      <c r="G3" s="2">
        <f t="shared" ref="G3:H18" si="0">BlackCallGamma($E3,$C$3,$C$4,$C$5,G$2,$C$6,$C$8)</f>
        <v>2.9959237042558384E-288</v>
      </c>
      <c r="H3" s="2">
        <f>BlackCallGamma($E3,$C$3,$C$4,$C$5,H$2,$C$6,$C$8)</f>
        <v>1.7941796862956681E-15</v>
      </c>
      <c r="I3" s="2"/>
      <c r="J3" s="2"/>
      <c r="K3" s="2"/>
      <c r="L3" s="2"/>
    </row>
    <row r="4" spans="2:12" x14ac:dyDescent="0.35">
      <c r="B4" t="s">
        <v>3</v>
      </c>
      <c r="C4">
        <v>0</v>
      </c>
      <c r="E4">
        <v>20</v>
      </c>
      <c r="F4" s="2">
        <f t="shared" ref="F4:H19" si="1">BlackCallGamma($E4,$C$3,$C$4,$C$5,F$2,$C$6,$C$8)</f>
        <v>5.7748046778352594E-282</v>
      </c>
      <c r="G4" s="2">
        <f t="shared" si="0"/>
        <v>1.6963420968769406E-141</v>
      </c>
      <c r="H4" s="2">
        <f t="shared" si="0"/>
        <v>1.4539401107011728E-8</v>
      </c>
      <c r="I4" s="2"/>
      <c r="J4" s="2"/>
      <c r="K4" s="2"/>
      <c r="L4" s="2"/>
    </row>
    <row r="5" spans="2:12" x14ac:dyDescent="0.35">
      <c r="B5" t="s">
        <v>4</v>
      </c>
      <c r="C5">
        <v>0.2</v>
      </c>
      <c r="E5">
        <v>30</v>
      </c>
      <c r="F5" s="2">
        <f t="shared" si="1"/>
        <v>2.2472889627451237E-158</v>
      </c>
      <c r="G5" s="2">
        <f t="shared" si="0"/>
        <v>7.8074067314318134E-80</v>
      </c>
      <c r="H5" s="2">
        <f t="shared" ref="H5:H15" si="2">BlackCallGamma($E5,$C$3,$C$4,$C$5,H$2,$C$6,$C$8)</f>
        <v>9.8802410548296145E-6</v>
      </c>
      <c r="I5" s="2"/>
      <c r="J5" s="2"/>
      <c r="K5" s="2"/>
      <c r="L5" s="2"/>
    </row>
    <row r="6" spans="2:12" x14ac:dyDescent="0.35">
      <c r="B6" t="s">
        <v>1</v>
      </c>
      <c r="C6">
        <v>100</v>
      </c>
      <c r="E6">
        <v>40</v>
      </c>
      <c r="F6" s="2">
        <f t="shared" si="1"/>
        <v>2.45478075042644E-92</v>
      </c>
      <c r="G6" s="2">
        <f t="shared" si="0"/>
        <v>6.5762916824530285E-47</v>
      </c>
      <c r="H6" s="2">
        <f t="shared" si="2"/>
        <v>2.9040669608654257E-4</v>
      </c>
      <c r="I6" s="2"/>
      <c r="J6" s="2"/>
      <c r="K6" s="2"/>
      <c r="L6" s="2"/>
    </row>
    <row r="7" spans="2:12" x14ac:dyDescent="0.35">
      <c r="E7">
        <v>50</v>
      </c>
      <c r="F7" s="2">
        <f t="shared" si="1"/>
        <v>1.7270728893916726E-53</v>
      </c>
      <c r="G7" s="2">
        <f t="shared" si="0"/>
        <v>1.4755245153049012E-27</v>
      </c>
      <c r="H7" s="2">
        <f t="shared" si="2"/>
        <v>1.9608949880511872E-3</v>
      </c>
      <c r="I7" s="2"/>
      <c r="J7" s="2"/>
      <c r="K7" s="2"/>
      <c r="L7" s="2"/>
    </row>
    <row r="8" spans="2:12" x14ac:dyDescent="0.35">
      <c r="B8" t="s">
        <v>12</v>
      </c>
      <c r="C8">
        <v>1E-4</v>
      </c>
      <c r="E8">
        <v>60</v>
      </c>
      <c r="F8" s="2">
        <f t="shared" si="1"/>
        <v>8.9446700826652461E-30</v>
      </c>
      <c r="G8" s="2">
        <f t="shared" si="0"/>
        <v>9.2615444267124894E-16</v>
      </c>
      <c r="H8" s="2">
        <f t="shared" si="2"/>
        <v>5.8816951309381693E-3</v>
      </c>
      <c r="I8" s="2"/>
      <c r="J8" s="2"/>
      <c r="K8" s="2"/>
      <c r="L8" s="2"/>
    </row>
    <row r="9" spans="2:12" x14ac:dyDescent="0.35">
      <c r="E9">
        <v>70</v>
      </c>
      <c r="F9" s="2">
        <f t="shared" si="1"/>
        <v>2.3454574631228807E-15</v>
      </c>
      <c r="G9" s="2">
        <f t="shared" si="0"/>
        <v>1.3360382157400445E-8</v>
      </c>
      <c r="H9" s="2">
        <f t="shared" si="2"/>
        <v>1.076609357220093E-2</v>
      </c>
      <c r="I9" s="2"/>
      <c r="J9" s="2"/>
      <c r="K9" s="2"/>
      <c r="L9" s="2"/>
    </row>
    <row r="10" spans="2:12" x14ac:dyDescent="0.35">
      <c r="E10">
        <v>80</v>
      </c>
      <c r="F10" s="2">
        <f t="shared" si="1"/>
        <v>4.891485912580671E-7</v>
      </c>
      <c r="G10" s="2">
        <f t="shared" si="0"/>
        <v>1.7454937641754251E-4</v>
      </c>
      <c r="H10" s="2">
        <f t="shared" si="2"/>
        <v>1.4296330785867895E-2</v>
      </c>
      <c r="I10" s="2"/>
      <c r="J10" s="2"/>
      <c r="K10" s="2"/>
      <c r="L10" s="2"/>
    </row>
    <row r="11" spans="2:12" x14ac:dyDescent="0.35">
      <c r="E11">
        <v>90</v>
      </c>
      <c r="F11" s="2">
        <f t="shared" si="1"/>
        <v>6.5112441046538683E-3</v>
      </c>
      <c r="G11" s="2">
        <f t="shared" si="0"/>
        <v>1.84361505228825E-2</v>
      </c>
      <c r="H11" s="2">
        <f t="shared" si="2"/>
        <v>1.5259216112895047E-2</v>
      </c>
      <c r="I11" s="2"/>
      <c r="J11" s="2"/>
      <c r="K11" s="2"/>
      <c r="L11" s="2"/>
    </row>
    <row r="12" spans="2:12" x14ac:dyDescent="0.35">
      <c r="E12">
        <v>100</v>
      </c>
      <c r="F12" s="2">
        <f t="shared" si="1"/>
        <v>8.9183876950116314E-2</v>
      </c>
      <c r="G12" s="2">
        <f t="shared" si="0"/>
        <v>6.3046767806440585E-2</v>
      </c>
      <c r="H12" s="2">
        <f t="shared" si="2"/>
        <v>1.3963985523446354E-2</v>
      </c>
      <c r="I12" s="2"/>
      <c r="J12" s="2"/>
      <c r="K12" s="2"/>
      <c r="L12" s="2"/>
    </row>
    <row r="13" spans="2:12" x14ac:dyDescent="0.35">
      <c r="E13">
        <v>110</v>
      </c>
      <c r="F13" s="2">
        <f t="shared" si="1"/>
        <v>7.97863997092918E-3</v>
      </c>
      <c r="G13" s="2">
        <f t="shared" si="0"/>
        <v>1.755648959544942E-2</v>
      </c>
      <c r="H13" s="2">
        <f t="shared" si="2"/>
        <v>1.1436540603426693E-2</v>
      </c>
      <c r="I13" s="2"/>
      <c r="J13" s="2"/>
      <c r="K13" s="2"/>
      <c r="L13" s="2"/>
    </row>
    <row r="14" spans="2:12" x14ac:dyDescent="0.35">
      <c r="E14">
        <v>120</v>
      </c>
      <c r="F14" s="2">
        <f t="shared" si="1"/>
        <v>1.6964207816272392E-5</v>
      </c>
      <c r="G14" s="2">
        <f t="shared" si="0"/>
        <v>7.5148776090827596E-4</v>
      </c>
      <c r="H14" s="2">
        <f t="shared" si="2"/>
        <v>8.6298079793323268E-3</v>
      </c>
      <c r="I14" s="2"/>
      <c r="J14" s="2"/>
      <c r="K14" s="2"/>
      <c r="L14" s="2"/>
    </row>
    <row r="15" spans="2:12" x14ac:dyDescent="0.35">
      <c r="E15">
        <v>130</v>
      </c>
      <c r="F15" s="2">
        <f t="shared" si="1"/>
        <v>3.5527136788005009E-7</v>
      </c>
      <c r="G15" s="2">
        <f t="shared" si="0"/>
        <v>7.9047879353311146E-6</v>
      </c>
      <c r="H15" s="2">
        <f t="shared" si="2"/>
        <v>6.127365281827224E-3</v>
      </c>
      <c r="I15" s="2"/>
      <c r="J15" s="2"/>
      <c r="K15" s="2"/>
      <c r="L15" s="2"/>
    </row>
    <row r="16" spans="2:12" x14ac:dyDescent="0.35">
      <c r="E16">
        <v>140</v>
      </c>
      <c r="F16" s="2">
        <f t="shared" si="1"/>
        <v>0</v>
      </c>
      <c r="G16" s="2">
        <f t="shared" si="0"/>
        <v>-3.5527136788005009E-7</v>
      </c>
      <c r="H16" s="2">
        <f t="shared" si="0"/>
        <v>4.1548986473571858E-3</v>
      </c>
      <c r="I16" s="2"/>
      <c r="J16" s="2"/>
      <c r="K16" s="2"/>
      <c r="L16" s="2"/>
    </row>
    <row r="17" spans="5:12" x14ac:dyDescent="0.35">
      <c r="E17">
        <v>150</v>
      </c>
      <c r="F17" s="2">
        <f t="shared" si="1"/>
        <v>0</v>
      </c>
      <c r="G17" s="2">
        <f t="shared" si="0"/>
        <v>7.1054273576010019E-7</v>
      </c>
      <c r="H17" s="2">
        <f t="shared" si="0"/>
        <v>2.7201352281736035E-3</v>
      </c>
      <c r="I17" s="2"/>
      <c r="J17" s="2"/>
      <c r="K17" s="2"/>
      <c r="L17" s="2"/>
    </row>
    <row r="18" spans="5:12" x14ac:dyDescent="0.35">
      <c r="E18">
        <v>160</v>
      </c>
      <c r="F18" s="2">
        <f t="shared" si="1"/>
        <v>0</v>
      </c>
      <c r="G18" s="2">
        <f t="shared" si="0"/>
        <v>0</v>
      </c>
      <c r="H18" s="2">
        <f t="shared" si="0"/>
        <v>1.7351453607261647E-3</v>
      </c>
      <c r="I18" s="2"/>
      <c r="J18" s="2"/>
      <c r="K18" s="2"/>
      <c r="L18" s="2"/>
    </row>
    <row r="19" spans="5:12" x14ac:dyDescent="0.35">
      <c r="E19">
        <v>170</v>
      </c>
      <c r="F19" s="2">
        <f t="shared" si="1"/>
        <v>0</v>
      </c>
      <c r="G19" s="2">
        <f t="shared" si="1"/>
        <v>0</v>
      </c>
      <c r="H19" s="2">
        <f t="shared" si="1"/>
        <v>1.0835776720341528E-3</v>
      </c>
      <c r="I19" s="2"/>
      <c r="J19" s="2"/>
      <c r="K19" s="2"/>
      <c r="L19" s="2"/>
    </row>
    <row r="21" spans="5:12" x14ac:dyDescent="0.35">
      <c r="E21" t="s">
        <v>13</v>
      </c>
      <c r="F21" s="5">
        <v>0.1</v>
      </c>
      <c r="G21" s="5">
        <v>0.2</v>
      </c>
      <c r="H21" s="5">
        <v>0.4</v>
      </c>
    </row>
    <row r="22" spans="5:12" x14ac:dyDescent="0.35">
      <c r="E22">
        <v>10</v>
      </c>
      <c r="F22" s="2">
        <f>BlackCallGamma($E22,$C$3,$C$4,F$21,0.5,$C$6,$C$8)</f>
        <v>9.8321522090917956E-231</v>
      </c>
      <c r="G22" s="2">
        <f t="shared" ref="G22:H37" si="3">BlackCallGamma($E22,$C$3,$C$4,G$21,0.5,$C$6,$C$8)</f>
        <v>2.4248338490943682E-58</v>
      </c>
      <c r="H22" s="2">
        <f t="shared" si="3"/>
        <v>1.7941796862956681E-15</v>
      </c>
    </row>
    <row r="23" spans="5:12" x14ac:dyDescent="0.35">
      <c r="E23">
        <v>20</v>
      </c>
      <c r="F23" s="2">
        <f t="shared" ref="F23:H38" si="4">BlackCallGamma($E23,$C$3,$C$4,F$21,0.5,$C$6,$C$8)</f>
        <v>2.0170986127387066E-113</v>
      </c>
      <c r="G23" s="2">
        <f t="shared" si="3"/>
        <v>2.366156075962734E-29</v>
      </c>
      <c r="H23" s="2">
        <f t="shared" si="3"/>
        <v>1.4539401107011728E-8</v>
      </c>
    </row>
    <row r="24" spans="5:12" x14ac:dyDescent="0.35">
      <c r="E24">
        <v>30</v>
      </c>
      <c r="F24" s="2">
        <f t="shared" si="4"/>
        <v>3.8219811886467721E-64</v>
      </c>
      <c r="G24" s="2">
        <f t="shared" si="3"/>
        <v>3.1284833750017458E-17</v>
      </c>
      <c r="H24" s="2">
        <f t="shared" si="3"/>
        <v>9.8802410548296145E-6</v>
      </c>
    </row>
    <row r="25" spans="5:12" x14ac:dyDescent="0.35">
      <c r="E25">
        <v>40</v>
      </c>
      <c r="F25" s="2">
        <f t="shared" si="4"/>
        <v>7.6770063623497173E-38</v>
      </c>
      <c r="G25" s="2">
        <f t="shared" si="3"/>
        <v>8.5212691610568368E-11</v>
      </c>
      <c r="H25" s="2">
        <f t="shared" si="3"/>
        <v>2.9040669608654257E-4</v>
      </c>
    </row>
    <row r="26" spans="5:12" x14ac:dyDescent="0.35">
      <c r="E26">
        <v>50</v>
      </c>
      <c r="F26" s="2">
        <f t="shared" si="4"/>
        <v>2.1721279086192902E-22</v>
      </c>
      <c r="G26" s="2">
        <f t="shared" si="3"/>
        <v>4.8350221404513277E-7</v>
      </c>
      <c r="H26" s="2">
        <f t="shared" si="3"/>
        <v>1.9608949880511872E-3</v>
      </c>
    </row>
    <row r="27" spans="5:12" x14ac:dyDescent="0.35">
      <c r="E27">
        <v>60</v>
      </c>
      <c r="F27" s="2">
        <f t="shared" si="4"/>
        <v>5.6405941248421691E-13</v>
      </c>
      <c r="G27" s="2">
        <f t="shared" si="3"/>
        <v>8.8907711488089847E-5</v>
      </c>
      <c r="H27" s="2">
        <f t="shared" si="3"/>
        <v>5.8816951309381693E-3</v>
      </c>
    </row>
    <row r="28" spans="5:12" x14ac:dyDescent="0.35">
      <c r="E28">
        <v>70</v>
      </c>
      <c r="F28" s="2">
        <f t="shared" si="4"/>
        <v>2.8743809616934996E-7</v>
      </c>
      <c r="G28" s="2">
        <f t="shared" si="3"/>
        <v>1.9971889593517478E-3</v>
      </c>
      <c r="H28" s="2">
        <f t="shared" si="3"/>
        <v>1.076609357220093E-2</v>
      </c>
    </row>
    <row r="29" spans="5:12" x14ac:dyDescent="0.35">
      <c r="E29">
        <v>80</v>
      </c>
      <c r="F29" s="2">
        <f t="shared" si="4"/>
        <v>5.4204760254958351E-4</v>
      </c>
      <c r="G29" s="2">
        <f t="shared" si="3"/>
        <v>1.1325369808634633E-2</v>
      </c>
      <c r="H29" s="2">
        <f t="shared" si="3"/>
        <v>1.4296330785867895E-2</v>
      </c>
    </row>
    <row r="30" spans="5:12" x14ac:dyDescent="0.35">
      <c r="E30">
        <v>90</v>
      </c>
      <c r="F30" s="2">
        <f t="shared" si="4"/>
        <v>2.1761591834090765E-2</v>
      </c>
      <c r="G30" s="2">
        <f t="shared" si="3"/>
        <v>2.4969981637923411E-2</v>
      </c>
      <c r="H30" s="2">
        <f t="shared" si="3"/>
        <v>1.5259216112895047E-2</v>
      </c>
    </row>
    <row r="31" spans="5:12" x14ac:dyDescent="0.35">
      <c r="E31">
        <v>100</v>
      </c>
      <c r="F31" s="2">
        <f t="shared" si="4"/>
        <v>5.6383497870626798E-2</v>
      </c>
      <c r="G31" s="2">
        <f t="shared" si="3"/>
        <v>2.813920207955789E-2</v>
      </c>
      <c r="H31" s="2">
        <f t="shared" si="3"/>
        <v>1.3963985523446354E-2</v>
      </c>
    </row>
    <row r="32" spans="5:12" x14ac:dyDescent="0.35">
      <c r="E32">
        <v>110</v>
      </c>
      <c r="F32" s="2">
        <f t="shared" si="4"/>
        <v>1.9703660925074473E-2</v>
      </c>
      <c r="G32" s="2">
        <f t="shared" si="3"/>
        <v>1.943458727282632E-2</v>
      </c>
      <c r="H32" s="2">
        <f t="shared" si="3"/>
        <v>1.1436540603426693E-2</v>
      </c>
    </row>
    <row r="33" spans="5:8" x14ac:dyDescent="0.35">
      <c r="E33">
        <v>120</v>
      </c>
      <c r="F33" s="2">
        <f t="shared" si="4"/>
        <v>1.5441870004906377E-3</v>
      </c>
      <c r="G33" s="2">
        <f t="shared" si="3"/>
        <v>9.3249852284316148E-3</v>
      </c>
      <c r="H33" s="2">
        <f t="shared" si="3"/>
        <v>8.6298079793323268E-3</v>
      </c>
    </row>
    <row r="34" spans="5:8" x14ac:dyDescent="0.35">
      <c r="E34">
        <v>130</v>
      </c>
      <c r="F34" s="2">
        <f t="shared" si="4"/>
        <v>3.9168668308775523E-5</v>
      </c>
      <c r="G34" s="2">
        <f t="shared" si="3"/>
        <v>3.3966607304591889E-3</v>
      </c>
      <c r="H34" s="2">
        <f t="shared" si="3"/>
        <v>6.127365281827224E-3</v>
      </c>
    </row>
    <row r="35" spans="5:8" x14ac:dyDescent="0.35">
      <c r="E35">
        <v>140</v>
      </c>
      <c r="F35" s="2">
        <f t="shared" si="4"/>
        <v>5.3290705182007514E-7</v>
      </c>
      <c r="G35" s="2">
        <f t="shared" si="3"/>
        <v>1.0018652574217413E-3</v>
      </c>
      <c r="H35" s="2">
        <f t="shared" si="3"/>
        <v>4.1548986473571858E-3</v>
      </c>
    </row>
    <row r="36" spans="5:8" x14ac:dyDescent="0.35">
      <c r="E36">
        <v>150</v>
      </c>
      <c r="F36" s="2">
        <f t="shared" si="4"/>
        <v>-1.7763568394002505E-7</v>
      </c>
      <c r="G36" s="2">
        <f t="shared" si="3"/>
        <v>2.5188739982695552E-4</v>
      </c>
      <c r="H36" s="2">
        <f t="shared" si="3"/>
        <v>2.7201352281736035E-3</v>
      </c>
    </row>
    <row r="37" spans="5:8" x14ac:dyDescent="0.35">
      <c r="E37">
        <v>160</v>
      </c>
      <c r="F37" s="2">
        <f t="shared" si="4"/>
        <v>-3.5527136788005009E-7</v>
      </c>
      <c r="G37" s="2">
        <f t="shared" si="3"/>
        <v>5.5422333389287814E-5</v>
      </c>
      <c r="H37" s="2">
        <f t="shared" si="3"/>
        <v>1.7351453607261647E-3</v>
      </c>
    </row>
    <row r="38" spans="5:8" x14ac:dyDescent="0.35">
      <c r="E38">
        <v>170</v>
      </c>
      <c r="F38" s="2">
        <f t="shared" si="4"/>
        <v>0</v>
      </c>
      <c r="G38" s="2">
        <f t="shared" si="4"/>
        <v>1.0658141036401503E-5</v>
      </c>
      <c r="H38" s="2">
        <f t="shared" si="4"/>
        <v>1.0835776720341528E-3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29"/>
  <sheetViews>
    <sheetView workbookViewId="0">
      <selection activeCell="C11" sqref="C11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</row>
    <row r="3" spans="2:12" x14ac:dyDescent="0.35">
      <c r="B3" t="s">
        <v>2</v>
      </c>
      <c r="C3">
        <v>0</v>
      </c>
      <c r="E3">
        <v>50</v>
      </c>
      <c r="F3" s="3">
        <f>BlackCallVega($E3,$C$3,$C$4,$C$5,F$2,$C$6,$C$8)</f>
        <v>7.3819455158351319E-26</v>
      </c>
      <c r="G3" s="3">
        <f t="shared" ref="G3:I20" si="0">BlackCallVega($E3,$C$3,$C$4,$C$5,G$2,$C$6,$C$8)</f>
        <v>1.1465868962848006E-12</v>
      </c>
      <c r="H3" s="3">
        <f t="shared" si="0"/>
        <v>1.2087908087842748E-4</v>
      </c>
      <c r="I3" s="3">
        <f t="shared" si="0"/>
        <v>6.918299995080715E-2</v>
      </c>
      <c r="J3" s="3"/>
      <c r="K3" s="3"/>
      <c r="L3" s="3"/>
    </row>
    <row r="4" spans="2:12" x14ac:dyDescent="0.35">
      <c r="B4" t="s">
        <v>3</v>
      </c>
      <c r="C4">
        <v>0</v>
      </c>
      <c r="E4">
        <v>55</v>
      </c>
      <c r="F4" s="3">
        <f t="shared" ref="F4:I20" si="1">BlackCallVega($E4,$C$3,$C$4,$C$5,F$2,$C$6,$C$8)</f>
        <v>3.7018174319244678E-19</v>
      </c>
      <c r="G4" s="3">
        <f t="shared" si="0"/>
        <v>2.6297009624701502E-9</v>
      </c>
      <c r="H4" s="3">
        <f t="shared" si="0"/>
        <v>2.7477404493766776E-3</v>
      </c>
      <c r="I4" s="3">
        <f t="shared" si="0"/>
        <v>0.33780105915085912</v>
      </c>
      <c r="J4" s="3"/>
      <c r="K4" s="3"/>
      <c r="L4" s="3"/>
    </row>
    <row r="5" spans="2:12" x14ac:dyDescent="0.35">
      <c r="B5" t="s">
        <v>4</v>
      </c>
      <c r="C5">
        <v>0.2</v>
      </c>
      <c r="E5">
        <v>60</v>
      </c>
      <c r="F5" s="3">
        <f t="shared" si="1"/>
        <v>6.6694307589900673E-14</v>
      </c>
      <c r="G5" s="3">
        <f t="shared" si="0"/>
        <v>1.1407940683244143E-6</v>
      </c>
      <c r="H5" s="3">
        <f t="shared" si="0"/>
        <v>3.2006388979675678E-2</v>
      </c>
      <c r="I5" s="3">
        <f t="shared" si="0"/>
        <v>1.1782550456210239</v>
      </c>
      <c r="J5" s="3"/>
      <c r="K5" s="3"/>
      <c r="L5" s="3"/>
    </row>
    <row r="6" spans="2:12" x14ac:dyDescent="0.35">
      <c r="B6" t="s">
        <v>1</v>
      </c>
      <c r="C6">
        <v>100</v>
      </c>
      <c r="E6">
        <v>65</v>
      </c>
      <c r="F6" s="3">
        <f t="shared" si="1"/>
        <v>8.5697825162742815E-10</v>
      </c>
      <c r="G6" s="3">
        <f t="shared" si="0"/>
        <v>1.3193129087065664E-4</v>
      </c>
      <c r="H6" s="3">
        <f t="shared" si="0"/>
        <v>0.2192420316352397</v>
      </c>
      <c r="I6" s="3">
        <f t="shared" si="0"/>
        <v>3.1461091453002101</v>
      </c>
      <c r="J6" s="3"/>
      <c r="K6" s="3"/>
      <c r="L6" s="3"/>
    </row>
    <row r="7" spans="2:12" x14ac:dyDescent="0.35">
      <c r="E7">
        <v>70</v>
      </c>
      <c r="F7" s="3">
        <f t="shared" si="1"/>
        <v>1.3093402778473881E-6</v>
      </c>
      <c r="G7" s="3">
        <f t="shared" si="0"/>
        <v>5.2534004542867671E-3</v>
      </c>
      <c r="H7" s="3">
        <f t="shared" si="0"/>
        <v>0.97862778059986866</v>
      </c>
      <c r="I7" s="3">
        <f t="shared" si="0"/>
        <v>6.7712215489595939</v>
      </c>
      <c r="J7" s="3"/>
      <c r="K7" s="3"/>
      <c r="L7" s="3"/>
    </row>
    <row r="8" spans="2:12" x14ac:dyDescent="0.35">
      <c r="B8" t="s">
        <v>12</v>
      </c>
      <c r="C8">
        <v>1E-4</v>
      </c>
      <c r="E8">
        <v>75</v>
      </c>
      <c r="F8" s="3">
        <f t="shared" si="1"/>
        <v>3.510757547060996E-4</v>
      </c>
      <c r="G8" s="3">
        <f t="shared" si="0"/>
        <v>8.7520160975179576E-2</v>
      </c>
      <c r="H8" s="3">
        <f t="shared" si="0"/>
        <v>3.0780394445085317</v>
      </c>
      <c r="I8" s="3">
        <f t="shared" si="0"/>
        <v>12.217609944221719</v>
      </c>
      <c r="J8" s="3"/>
      <c r="K8" s="3"/>
      <c r="L8" s="3"/>
    </row>
    <row r="9" spans="2:12" x14ac:dyDescent="0.35">
      <c r="E9">
        <v>80</v>
      </c>
      <c r="F9" s="3">
        <f t="shared" si="1"/>
        <v>2.2342639712611832E-2</v>
      </c>
      <c r="G9" s="3">
        <f t="shared" si="0"/>
        <v>0.70955055898611408</v>
      </c>
      <c r="H9" s="3">
        <f t="shared" si="0"/>
        <v>7.2482504342524789</v>
      </c>
      <c r="I9" s="3">
        <f t="shared" si="0"/>
        <v>19.053422199831747</v>
      </c>
      <c r="J9" s="3"/>
      <c r="K9" s="3"/>
      <c r="L9" s="3"/>
    </row>
    <row r="10" spans="2:12" x14ac:dyDescent="0.35">
      <c r="E10">
        <v>85</v>
      </c>
      <c r="F10" s="3">
        <f t="shared" si="1"/>
        <v>0.42811232622806672</v>
      </c>
      <c r="G10" s="3">
        <f t="shared" si="0"/>
        <v>3.1533901741110508</v>
      </c>
      <c r="H10" s="3">
        <f t="shared" si="0"/>
        <v>13.404472815468083</v>
      </c>
      <c r="I10" s="3">
        <f t="shared" si="0"/>
        <v>26.306527232451415</v>
      </c>
      <c r="J10" s="3"/>
      <c r="K10" s="3"/>
      <c r="L10" s="3"/>
    </row>
    <row r="11" spans="2:12" x14ac:dyDescent="0.35">
      <c r="E11">
        <v>90</v>
      </c>
      <c r="F11" s="3">
        <f t="shared" si="1"/>
        <v>2.9866550229244031</v>
      </c>
      <c r="G11" s="3">
        <f t="shared" si="0"/>
        <v>8.4488467601548383</v>
      </c>
      <c r="H11" s="3">
        <f t="shared" si="0"/>
        <v>20.225754977998278</v>
      </c>
      <c r="I11" s="3">
        <f t="shared" si="0"/>
        <v>32.779092375954107</v>
      </c>
      <c r="J11" s="3"/>
      <c r="K11" s="3"/>
      <c r="L11" s="3"/>
    </row>
    <row r="12" spans="2:12" x14ac:dyDescent="0.35">
      <c r="E12">
        <v>95</v>
      </c>
      <c r="F12" s="3">
        <f t="shared" si="1"/>
        <v>8.8455732722980684</v>
      </c>
      <c r="G12" s="3">
        <f t="shared" si="0"/>
        <v>14.737988094887244</v>
      </c>
      <c r="H12" s="3">
        <f t="shared" si="0"/>
        <v>25.680612970311323</v>
      </c>
      <c r="I12" s="3">
        <f t="shared" si="0"/>
        <v>37.438420808744155</v>
      </c>
      <c r="J12" s="3"/>
      <c r="K12" s="3"/>
      <c r="L12" s="3"/>
    </row>
    <row r="13" spans="2:12" x14ac:dyDescent="0.35">
      <c r="E13">
        <v>100</v>
      </c>
      <c r="F13" s="3">
        <f t="shared" si="1"/>
        <v>12.609356355000045</v>
      </c>
      <c r="G13" s="3">
        <f t="shared" si="0"/>
        <v>17.823408836576959</v>
      </c>
      <c r="H13" s="3">
        <f t="shared" si="0"/>
        <v>28.139043554866738</v>
      </c>
      <c r="I13" s="3">
        <f t="shared" si="0"/>
        <v>39.695254731269003</v>
      </c>
      <c r="J13" s="3"/>
      <c r="K13" s="3"/>
      <c r="L13" s="3"/>
    </row>
    <row r="14" spans="2:12" x14ac:dyDescent="0.35">
      <c r="E14">
        <v>105</v>
      </c>
      <c r="F14" s="3">
        <f t="shared" si="1"/>
        <v>9.5953068935772379</v>
      </c>
      <c r="G14" s="3">
        <f t="shared" si="0"/>
        <v>15.738780111411721</v>
      </c>
      <c r="H14" s="3">
        <f t="shared" si="0"/>
        <v>27.168035778171173</v>
      </c>
      <c r="I14" s="3">
        <f t="shared" si="0"/>
        <v>39.483020771911015</v>
      </c>
      <c r="J14" s="3"/>
      <c r="K14" s="3"/>
      <c r="L14" s="3"/>
    </row>
    <row r="15" spans="2:12" x14ac:dyDescent="0.35">
      <c r="E15">
        <v>110</v>
      </c>
      <c r="F15" s="3">
        <f t="shared" si="1"/>
        <v>4.2486034552258189</v>
      </c>
      <c r="G15" s="3">
        <f t="shared" si="0"/>
        <v>10.595356081353202</v>
      </c>
      <c r="H15" s="3">
        <f t="shared" si="0"/>
        <v>23.516736154771678</v>
      </c>
      <c r="I15" s="3">
        <f t="shared" si="0"/>
        <v>37.163843368439586</v>
      </c>
      <c r="J15" s="3"/>
      <c r="K15" s="3"/>
      <c r="L15" s="3"/>
    </row>
    <row r="16" spans="2:12" x14ac:dyDescent="0.35">
      <c r="E16">
        <v>115</v>
      </c>
      <c r="F16" s="3">
        <f t="shared" si="1"/>
        <v>1.1766193783735446</v>
      </c>
      <c r="G16" s="3">
        <f t="shared" si="0"/>
        <v>5.6381504476998856</v>
      </c>
      <c r="H16" s="3">
        <f t="shared" si="0"/>
        <v>18.517272354987568</v>
      </c>
      <c r="I16" s="3">
        <f t="shared" si="0"/>
        <v>33.346241432710144</v>
      </c>
      <c r="J16" s="3"/>
      <c r="K16" s="3"/>
      <c r="L16" s="3"/>
    </row>
    <row r="17" spans="5:12" x14ac:dyDescent="0.35">
      <c r="E17">
        <v>120</v>
      </c>
      <c r="F17" s="3">
        <f t="shared" si="1"/>
        <v>0.21663485549439088</v>
      </c>
      <c r="G17" s="3">
        <f t="shared" si="0"/>
        <v>2.4451385663581959</v>
      </c>
      <c r="H17" s="3">
        <f t="shared" si="0"/>
        <v>13.427300640085349</v>
      </c>
      <c r="I17" s="3">
        <f t="shared" si="0"/>
        <v>28.699450581388675</v>
      </c>
      <c r="J17" s="3"/>
      <c r="K17" s="3"/>
      <c r="L17" s="3"/>
    </row>
    <row r="18" spans="5:12" x14ac:dyDescent="0.35">
      <c r="E18">
        <v>125</v>
      </c>
      <c r="F18" s="3">
        <f t="shared" si="1"/>
        <v>2.7928299619617292E-2</v>
      </c>
      <c r="G18" s="3">
        <f t="shared" si="0"/>
        <v>0.88693819870755419</v>
      </c>
      <c r="H18" s="3">
        <f t="shared" si="0"/>
        <v>9.0603130428412726</v>
      </c>
      <c r="I18" s="3">
        <f t="shared" si="0"/>
        <v>23.816777749843254</v>
      </c>
      <c r="J18" s="3"/>
      <c r="K18" s="3"/>
      <c r="L18" s="3"/>
    </row>
    <row r="19" spans="5:12" x14ac:dyDescent="0.35">
      <c r="E19">
        <v>130</v>
      </c>
      <c r="F19" s="3">
        <f t="shared" si="1"/>
        <v>2.6353362692077553E-3</v>
      </c>
      <c r="G19" s="3">
        <f t="shared" si="1"/>
        <v>0.27513562592673679</v>
      </c>
      <c r="H19" s="3">
        <f t="shared" si="1"/>
        <v>5.7400336616098002</v>
      </c>
      <c r="I19" s="3">
        <f t="shared" si="1"/>
        <v>19.143746343228685</v>
      </c>
      <c r="J19" s="3"/>
      <c r="K19" s="3"/>
      <c r="L19" s="3"/>
    </row>
    <row r="20" spans="5:12" x14ac:dyDescent="0.35">
      <c r="E20">
        <v>135</v>
      </c>
      <c r="F20" s="3">
        <f t="shared" si="1"/>
        <v>1.8908078658341765E-4</v>
      </c>
      <c r="G20" s="3">
        <f t="shared" si="0"/>
        <v>7.4395930553805556E-2</v>
      </c>
      <c r="H20" s="3">
        <f t="shared" si="0"/>
        <v>3.4405848739638145</v>
      </c>
      <c r="I20" s="3">
        <f t="shared" si="0"/>
        <v>14.961785191118793</v>
      </c>
    </row>
    <row r="21" spans="5:12" x14ac:dyDescent="0.35">
      <c r="E21">
        <v>140</v>
      </c>
      <c r="F21" s="3">
        <f t="shared" ref="F21:I29" si="2">BlackCallVega($E21,$C$3,$C$4,$C$5,F$2,$C$6,$C$8)</f>
        <v>1.0660237137471995E-5</v>
      </c>
      <c r="G21" s="3">
        <f t="shared" si="2"/>
        <v>1.7826084253158569E-2</v>
      </c>
      <c r="H21" s="3">
        <f t="shared" si="2"/>
        <v>1.964142288031212</v>
      </c>
      <c r="I21" s="3">
        <f t="shared" si="2"/>
        <v>11.407809595631591</v>
      </c>
    </row>
    <row r="22" spans="5:12" x14ac:dyDescent="0.35">
      <c r="E22">
        <v>145</v>
      </c>
      <c r="F22" s="3">
        <f t="shared" si="2"/>
        <v>4.8586912271275651E-7</v>
      </c>
      <c r="G22" s="3">
        <f t="shared" si="2"/>
        <v>3.83950219173812E-3</v>
      </c>
      <c r="H22" s="3">
        <f t="shared" si="2"/>
        <v>1.0740687944732485</v>
      </c>
      <c r="I22" s="3">
        <f t="shared" si="2"/>
        <v>8.5102390850266829</v>
      </c>
    </row>
    <row r="23" spans="5:12" x14ac:dyDescent="0.35">
      <c r="E23">
        <v>150</v>
      </c>
      <c r="F23" s="3">
        <f t="shared" si="2"/>
        <v>1.836752971939859E-8</v>
      </c>
      <c r="G23" s="3">
        <f t="shared" si="2"/>
        <v>7.5268648203064004E-4</v>
      </c>
      <c r="H23" s="3">
        <f t="shared" si="2"/>
        <v>0.5654369711649565</v>
      </c>
      <c r="I23" s="3">
        <f t="shared" si="2"/>
        <v>6.2272820493447512</v>
      </c>
    </row>
    <row r="24" spans="5:12" x14ac:dyDescent="0.35">
      <c r="E24">
        <v>155</v>
      </c>
      <c r="F24" s="3">
        <f t="shared" si="2"/>
        <v>5.6843418860808015E-10</v>
      </c>
      <c r="G24" s="3">
        <f t="shared" si="2"/>
        <v>1.3576972435203061E-4</v>
      </c>
      <c r="H24" s="3">
        <f t="shared" si="2"/>
        <v>0.28782677762961839</v>
      </c>
      <c r="I24" s="3">
        <f t="shared" si="2"/>
        <v>4.4795256908258807</v>
      </c>
    </row>
    <row r="25" spans="5:12" x14ac:dyDescent="0.35">
      <c r="E25">
        <v>160</v>
      </c>
      <c r="F25" s="3">
        <f t="shared" si="2"/>
        <v>0</v>
      </c>
      <c r="G25" s="3">
        <f t="shared" si="2"/>
        <v>2.2750583639208344E-5</v>
      </c>
      <c r="H25" s="3">
        <f t="shared" si="2"/>
        <v>0.14221408545012082</v>
      </c>
      <c r="I25" s="3">
        <f t="shared" si="2"/>
        <v>3.1738374221745858</v>
      </c>
    </row>
    <row r="26" spans="5:12" x14ac:dyDescent="0.35">
      <c r="E26">
        <v>165</v>
      </c>
      <c r="F26" s="3">
        <f t="shared" si="2"/>
        <v>-1.4210854715202004E-10</v>
      </c>
      <c r="G26" s="3">
        <f t="shared" si="2"/>
        <v>3.5714009527509916E-6</v>
      </c>
      <c r="H26" s="3">
        <f t="shared" si="2"/>
        <v>6.8436666325055739E-2</v>
      </c>
      <c r="I26" s="3">
        <f t="shared" si="2"/>
        <v>2.218700208729274</v>
      </c>
    </row>
    <row r="27" spans="5:12" x14ac:dyDescent="0.35">
      <c r="E27">
        <v>170</v>
      </c>
      <c r="F27" s="3">
        <f t="shared" si="2"/>
        <v>0</v>
      </c>
      <c r="G27" s="3">
        <f t="shared" si="2"/>
        <v>5.2914117532054661E-7</v>
      </c>
      <c r="H27" s="3">
        <f t="shared" si="2"/>
        <v>3.2171322104090905E-2</v>
      </c>
      <c r="I27" s="3">
        <f t="shared" si="2"/>
        <v>1.5326031522988615</v>
      </c>
    </row>
    <row r="28" spans="5:12" x14ac:dyDescent="0.35">
      <c r="E28">
        <v>175</v>
      </c>
      <c r="F28" s="3">
        <f t="shared" si="2"/>
        <v>0</v>
      </c>
      <c r="G28" s="3">
        <f t="shared" si="2"/>
        <v>7.4464878707658499E-8</v>
      </c>
      <c r="H28" s="3">
        <f t="shared" si="2"/>
        <v>1.4812682422871148E-2</v>
      </c>
      <c r="I28" s="3">
        <f t="shared" si="2"/>
        <v>1.0475124297926186</v>
      </c>
    </row>
    <row r="29" spans="5:12" x14ac:dyDescent="0.35">
      <c r="E29">
        <v>180</v>
      </c>
      <c r="F29" s="3">
        <f t="shared" si="2"/>
        <v>0</v>
      </c>
      <c r="G29" s="3">
        <f t="shared" si="2"/>
        <v>1.0018652574217413E-8</v>
      </c>
      <c r="H29" s="3">
        <f t="shared" si="2"/>
        <v>6.695849421589628E-3</v>
      </c>
      <c r="I29" s="3">
        <f t="shared" si="2"/>
        <v>0.70925685754730239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13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2</v>
      </c>
      <c r="C3">
        <v>0</v>
      </c>
      <c r="E3">
        <v>10</v>
      </c>
      <c r="F3" s="3">
        <f>BlackCallRho($E3,$C$3,$C$4,$C$5,F$2,$C$6,$C$8)</f>
        <v>5.1960038756018984E-290</v>
      </c>
      <c r="G3" s="3">
        <f t="shared" ref="G3:L18" si="0">BlackCallRho($E3,$C$3,$C$4,$C$5,G$2,$C$6,$C$8)</f>
        <v>1.196367936794898E-145</v>
      </c>
      <c r="H3" s="3">
        <f t="shared" si="0"/>
        <v>1.0446660001544304E-58</v>
      </c>
      <c r="I3" s="3">
        <f t="shared" si="0"/>
        <v>1.7714257532059172E-29</v>
      </c>
      <c r="J3" s="3">
        <f t="shared" si="0"/>
        <v>1.2083055323403445E-14</v>
      </c>
      <c r="K3" s="3">
        <f t="shared" si="0"/>
        <v>1.9430060446419993E-5</v>
      </c>
      <c r="L3" s="3">
        <f t="shared" si="0"/>
        <v>3.7959058047444295E-2</v>
      </c>
    </row>
    <row r="4" spans="2:12" x14ac:dyDescent="0.35">
      <c r="B4" t="s">
        <v>3</v>
      </c>
      <c r="C4">
        <v>0</v>
      </c>
      <c r="E4">
        <v>20</v>
      </c>
      <c r="F4" s="3">
        <f t="shared" ref="F4:L19" si="1">BlackCallRho($E4,$C$3,$C$4,$C$5,F$2,$C$6,$C$8)</f>
        <v>1.6817289279528335E-142</v>
      </c>
      <c r="G4" s="3">
        <f t="shared" si="0"/>
        <v>9.6647043908028907E-72</v>
      </c>
      <c r="H4" s="3">
        <f t="shared" si="0"/>
        <v>5.8008215001146438E-29</v>
      </c>
      <c r="I4" s="3">
        <f t="shared" si="0"/>
        <v>1.8624027259700502E-14</v>
      </c>
      <c r="J4" s="3">
        <f t="shared" si="0"/>
        <v>5.4884172475610416E-7</v>
      </c>
      <c r="K4" s="3">
        <f t="shared" si="0"/>
        <v>3.3037256312787158E-2</v>
      </c>
      <c r="L4" s="3">
        <f t="shared" si="0"/>
        <v>2.111722912668569</v>
      </c>
    </row>
    <row r="5" spans="2:12" x14ac:dyDescent="0.35">
      <c r="B5" t="s">
        <v>4</v>
      </c>
      <c r="C5">
        <v>0.2</v>
      </c>
      <c r="E5">
        <v>30</v>
      </c>
      <c r="F5" s="3">
        <f t="shared" si="1"/>
        <v>2.3242705148823882E-80</v>
      </c>
      <c r="G5" s="3">
        <f t="shared" si="0"/>
        <v>1.4503367028208253E-40</v>
      </c>
      <c r="H5" s="3">
        <f t="shared" si="0"/>
        <v>2.289079322674146E-16</v>
      </c>
      <c r="I5" s="3">
        <f t="shared" si="0"/>
        <v>4.682769188575278E-8</v>
      </c>
      <c r="J5" s="3">
        <f t="shared" si="0"/>
        <v>1.0919878761126184E-3</v>
      </c>
      <c r="K5" s="3">
        <f t="shared" si="0"/>
        <v>0.8870259198376188</v>
      </c>
      <c r="L5" s="3">
        <f t="shared" si="0"/>
        <v>13.213611559901027</v>
      </c>
    </row>
    <row r="6" spans="2:12" x14ac:dyDescent="0.35">
      <c r="B6" t="s">
        <v>1</v>
      </c>
      <c r="C6">
        <v>100</v>
      </c>
      <c r="E6">
        <v>40</v>
      </c>
      <c r="F6" s="3">
        <f t="shared" si="1"/>
        <v>4.5618832132108126E-47</v>
      </c>
      <c r="G6" s="3">
        <f t="shared" si="0"/>
        <v>7.8858787700959926E-24</v>
      </c>
      <c r="H6" s="3">
        <f t="shared" si="0"/>
        <v>1.4397333160028508E-9</v>
      </c>
      <c r="I6" s="3">
        <f t="shared" si="0"/>
        <v>1.4242402047183629E-4</v>
      </c>
      <c r="J6" s="3">
        <f t="shared" si="0"/>
        <v>7.2223050157171981E-2</v>
      </c>
      <c r="K6" s="3">
        <f t="shared" si="0"/>
        <v>5.7641595492349813</v>
      </c>
      <c r="L6" s="3">
        <f t="shared" si="0"/>
        <v>38.781014258933986</v>
      </c>
    </row>
    <row r="7" spans="2:12" x14ac:dyDescent="0.35">
      <c r="E7">
        <v>50</v>
      </c>
      <c r="F7" s="3">
        <f t="shared" si="1"/>
        <v>2.105456942279947E-27</v>
      </c>
      <c r="G7" s="3">
        <f t="shared" si="0"/>
        <v>6.4744782224611679E-14</v>
      </c>
      <c r="H7" s="3">
        <f t="shared" si="0"/>
        <v>1.6566315415308059E-5</v>
      </c>
      <c r="I7" s="3">
        <f t="shared" si="0"/>
        <v>1.8141839996880377E-2</v>
      </c>
      <c r="J7" s="3">
        <f t="shared" si="0"/>
        <v>0.9540131659633091</v>
      </c>
      <c r="K7" s="3">
        <f t="shared" si="0"/>
        <v>19.035197825045813</v>
      </c>
      <c r="L7" s="3">
        <f t="shared" si="0"/>
        <v>78.947080163558326</v>
      </c>
    </row>
    <row r="8" spans="2:12" x14ac:dyDescent="0.35">
      <c r="B8" t="s">
        <v>12</v>
      </c>
      <c r="C8">
        <v>1E-4</v>
      </c>
      <c r="E8">
        <v>60</v>
      </c>
      <c r="F8" s="3">
        <f t="shared" si="1"/>
        <v>2.5627387878172386E-15</v>
      </c>
      <c r="G8" s="3">
        <f t="shared" si="0"/>
        <v>8.6168429741691512E-8</v>
      </c>
      <c r="H8" s="3">
        <f t="shared" si="0"/>
        <v>5.767306722424803E-3</v>
      </c>
      <c r="I8" s="3">
        <f t="shared" si="0"/>
        <v>0.39756826354542252</v>
      </c>
      <c r="J8" s="3">
        <f t="shared" si="0"/>
        <v>5.1479305232729473</v>
      </c>
      <c r="K8" s="3">
        <f t="shared" si="0"/>
        <v>42.996708777991444</v>
      </c>
      <c r="L8" s="3">
        <f t="shared" si="0"/>
        <v>130.52476606639996</v>
      </c>
    </row>
    <row r="9" spans="2:12" x14ac:dyDescent="0.35">
      <c r="E9">
        <v>70</v>
      </c>
      <c r="F9" s="3">
        <f t="shared" si="1"/>
        <v>7.0921569313947736E-8</v>
      </c>
      <c r="G9" s="3">
        <f t="shared" si="0"/>
        <v>5.5194031505288147E-4</v>
      </c>
      <c r="H9" s="3">
        <f t="shared" si="0"/>
        <v>0.23800680812471539</v>
      </c>
      <c r="I9" s="3">
        <f t="shared" si="0"/>
        <v>2.9824806160445858</v>
      </c>
      <c r="J9" s="3">
        <f t="shared" si="0"/>
        <v>16.077863125176783</v>
      </c>
      <c r="K9" s="3">
        <f t="shared" si="0"/>
        <v>76.795114201106955</v>
      </c>
      <c r="L9" s="3">
        <f t="shared" si="0"/>
        <v>189.3807911784684</v>
      </c>
    </row>
    <row r="10" spans="2:12" x14ac:dyDescent="0.35">
      <c r="E10">
        <v>80</v>
      </c>
      <c r="F10" s="3">
        <f t="shared" si="1"/>
        <v>1.8554598910214119E-3</v>
      </c>
      <c r="G10" s="3">
        <f t="shared" si="0"/>
        <v>0.11099768946342889</v>
      </c>
      <c r="H10" s="3">
        <f t="shared" si="0"/>
        <v>2.4808743311577341</v>
      </c>
      <c r="I10" s="3">
        <f t="shared" si="0"/>
        <v>11.204623547924619</v>
      </c>
      <c r="J10" s="3">
        <f t="shared" si="0"/>
        <v>35.218838992183699</v>
      </c>
      <c r="K10" s="3">
        <f t="shared" si="0"/>
        <v>117.48588008960058</v>
      </c>
      <c r="L10" s="3">
        <f t="shared" si="0"/>
        <v>251.73216921145601</v>
      </c>
    </row>
    <row r="11" spans="2:12" x14ac:dyDescent="0.35">
      <c r="E11">
        <v>90</v>
      </c>
      <c r="F11" s="3">
        <f t="shared" si="1"/>
        <v>0.44799310433205064</v>
      </c>
      <c r="G11" s="3">
        <f t="shared" si="0"/>
        <v>2.214476643916663</v>
      </c>
      <c r="H11" s="3">
        <f t="shared" si="0"/>
        <v>10.366478581882443</v>
      </c>
      <c r="I11" s="3">
        <f t="shared" si="0"/>
        <v>26.539433016206093</v>
      </c>
      <c r="J11" s="3">
        <f t="shared" si="0"/>
        <v>60.730300848006458</v>
      </c>
      <c r="K11" s="3">
        <f t="shared" si="0"/>
        <v>161.52261500989695</v>
      </c>
      <c r="L11" s="3">
        <f t="shared" si="0"/>
        <v>314.61264542423703</v>
      </c>
    </row>
    <row r="12" spans="2:12" x14ac:dyDescent="0.35">
      <c r="E12">
        <v>100</v>
      </c>
      <c r="F12" s="3">
        <f t="shared" si="1"/>
        <v>4.873864395302796</v>
      </c>
      <c r="G12" s="3">
        <f t="shared" si="0"/>
        <v>9.6432940744461959</v>
      </c>
      <c r="H12" s="3">
        <f t="shared" si="0"/>
        <v>23.590700477029714</v>
      </c>
      <c r="I12" s="3">
        <f t="shared" si="0"/>
        <v>46.017215852831583</v>
      </c>
      <c r="J12" s="3">
        <f t="shared" si="0"/>
        <v>88.753706197000071</v>
      </c>
      <c r="K12" s="3">
        <f t="shared" si="0"/>
        <v>205.7657998244089</v>
      </c>
      <c r="L12" s="3">
        <f t="shared" si="0"/>
        <v>375.91472967053005</v>
      </c>
    </row>
    <row r="13" spans="2:12" x14ac:dyDescent="0.35">
      <c r="E13">
        <v>110</v>
      </c>
      <c r="F13" s="3">
        <f t="shared" si="1"/>
        <v>9.2994257571721306</v>
      </c>
      <c r="G13" s="3">
        <f t="shared" si="0"/>
        <v>16.926881524721438</v>
      </c>
      <c r="H13" s="3">
        <f t="shared" si="0"/>
        <v>36.341175007033044</v>
      </c>
      <c r="I13" s="3">
        <f t="shared" si="0"/>
        <v>64.674629752508039</v>
      </c>
      <c r="J13" s="3">
        <f t="shared" si="0"/>
        <v>115.50383545863241</v>
      </c>
      <c r="K13" s="3">
        <f t="shared" si="0"/>
        <v>247.90820660953727</v>
      </c>
      <c r="L13" s="3">
        <f t="shared" si="0"/>
        <v>434.26365007535492</v>
      </c>
    </row>
    <row r="14" spans="2:12" x14ac:dyDescent="0.35">
      <c r="E14">
        <v>120</v>
      </c>
      <c r="F14" s="3">
        <f t="shared" si="1"/>
        <v>9.9782182066299185</v>
      </c>
      <c r="G14" s="3">
        <f t="shared" si="0"/>
        <v>19.538146691768787</v>
      </c>
      <c r="H14" s="3">
        <f t="shared" si="0"/>
        <v>44.424124545159316</v>
      </c>
      <c r="I14" s="3">
        <f t="shared" si="0"/>
        <v>79.149162514635663</v>
      </c>
      <c r="J14" s="3">
        <f t="shared" si="0"/>
        <v>138.5164112506132</v>
      </c>
      <c r="K14" s="3">
        <f t="shared" si="0"/>
        <v>286.5116264633549</v>
      </c>
      <c r="L14" s="3">
        <f t="shared" si="0"/>
        <v>488.8500641371607</v>
      </c>
    </row>
    <row r="15" spans="2:12" x14ac:dyDescent="0.35">
      <c r="E15">
        <v>130</v>
      </c>
      <c r="F15" s="3">
        <f t="shared" si="1"/>
        <v>9.9998078492902209</v>
      </c>
      <c r="G15" s="3">
        <f t="shared" si="0"/>
        <v>19.961303937208186</v>
      </c>
      <c r="H15" s="3">
        <f t="shared" si="0"/>
        <v>48.141376892800736</v>
      </c>
      <c r="I15" s="3">
        <f t="shared" si="0"/>
        <v>88.720959640564701</v>
      </c>
      <c r="J15" s="3">
        <f t="shared" si="0"/>
        <v>156.82357922681689</v>
      </c>
      <c r="K15" s="3">
        <f t="shared" si="0"/>
        <v>320.85948759224436</v>
      </c>
      <c r="L15" s="3">
        <f t="shared" si="0"/>
        <v>539.27453374857487</v>
      </c>
    </row>
    <row r="16" spans="2:12" x14ac:dyDescent="0.35">
      <c r="E16">
        <v>140</v>
      </c>
      <c r="F16" s="3">
        <f t="shared" si="1"/>
        <v>9.9999993834387624</v>
      </c>
      <c r="G16" s="3">
        <f t="shared" si="0"/>
        <v>19.99798519349838</v>
      </c>
      <c r="H16" s="3">
        <f t="shared" si="0"/>
        <v>49.475726546752696</v>
      </c>
      <c r="I16" s="3">
        <f t="shared" si="0"/>
        <v>94.321642176282694</v>
      </c>
      <c r="J16" s="3">
        <f t="shared" si="0"/>
        <v>170.54477875767304</v>
      </c>
      <c r="K16" s="3">
        <f t="shared" si="0"/>
        <v>350.75836277908223</v>
      </c>
      <c r="L16" s="3">
        <f t="shared" si="0"/>
        <v>585.42084284788132</v>
      </c>
    </row>
    <row r="17" spans="5:12" x14ac:dyDescent="0.35">
      <c r="E17">
        <v>150</v>
      </c>
      <c r="F17" s="3">
        <f t="shared" si="1"/>
        <v>9.9999999990885158</v>
      </c>
      <c r="G17" s="3">
        <f t="shared" si="0"/>
        <v>19.999928280292067</v>
      </c>
      <c r="H17" s="3">
        <f t="shared" si="0"/>
        <v>49.870795741924212</v>
      </c>
      <c r="I17" s="3">
        <f t="shared" si="0"/>
        <v>97.303045929990617</v>
      </c>
      <c r="J17" s="3">
        <f t="shared" si="0"/>
        <v>180.36823875160479</v>
      </c>
      <c r="K17" s="3">
        <f t="shared" si="0"/>
        <v>376.35468989321907</v>
      </c>
      <c r="L17" s="3">
        <f t="shared" si="0"/>
        <v>627.35969124869223</v>
      </c>
    </row>
    <row r="18" spans="5:12" x14ac:dyDescent="0.35">
      <c r="E18">
        <v>160</v>
      </c>
      <c r="F18" s="3">
        <f t="shared" si="1"/>
        <v>10.000000000189857</v>
      </c>
      <c r="G18" s="3">
        <f t="shared" si="0"/>
        <v>19.999998113604534</v>
      </c>
      <c r="H18" s="3">
        <f t="shared" si="0"/>
        <v>49.971423179258068</v>
      </c>
      <c r="I18" s="3">
        <f t="shared" si="0"/>
        <v>98.777610143088168</v>
      </c>
      <c r="J18" s="3">
        <f t="shared" si="0"/>
        <v>187.15624682521081</v>
      </c>
      <c r="K18" s="3">
        <f t="shared" si="0"/>
        <v>397.99075065424461</v>
      </c>
      <c r="L18" s="3">
        <f t="shared" si="0"/>
        <v>665.27858694747977</v>
      </c>
    </row>
    <row r="19" spans="5:12" x14ac:dyDescent="0.35">
      <c r="E19">
        <v>170</v>
      </c>
      <c r="F19" s="3">
        <f t="shared" si="1"/>
        <v>10.000000000189857</v>
      </c>
      <c r="G19" s="3">
        <f t="shared" si="1"/>
        <v>19.999999962081461</v>
      </c>
      <c r="H19" s="3">
        <f t="shared" si="1"/>
        <v>49.994201046885678</v>
      </c>
      <c r="I19" s="3">
        <f t="shared" si="1"/>
        <v>99.466219023227609</v>
      </c>
      <c r="J19" s="3">
        <f t="shared" si="1"/>
        <v>191.71941158376171</v>
      </c>
      <c r="K19" s="3">
        <f t="shared" si="1"/>
        <v>416.10230330483944</v>
      </c>
      <c r="L19" s="3">
        <f t="shared" si="1"/>
        <v>699.43240775707238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workbookViewId="0">
      <selection activeCell="D7" sqref="D7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1:12" x14ac:dyDescent="0.35">
      <c r="E1" t="s">
        <v>13</v>
      </c>
      <c r="F1">
        <v>1</v>
      </c>
      <c r="G1">
        <v>1</v>
      </c>
    </row>
    <row r="2" spans="1:12" x14ac:dyDescent="0.35">
      <c r="F2" s="7" t="s">
        <v>19</v>
      </c>
      <c r="G2" s="7" t="s">
        <v>20</v>
      </c>
    </row>
    <row r="3" spans="1:12" x14ac:dyDescent="0.35">
      <c r="B3" t="s">
        <v>2</v>
      </c>
      <c r="C3">
        <v>0.01</v>
      </c>
      <c r="E3">
        <v>10</v>
      </c>
      <c r="F3" s="3">
        <f t="shared" ref="F3:F19" si="0">BlackCallTheta($E3,$C$3,$C$4,$C$5,F$1,$C$6,$C$8)</f>
        <v>-3.6921581989881642E-29</v>
      </c>
      <c r="G3" s="3">
        <f t="shared" ref="G3:G19" si="1">BlackputTheta($E3,$C$3,$C$4,$C$5,G$1,$C$6,$C$8)</f>
        <v>0.4950249419266583</v>
      </c>
      <c r="H3" s="3"/>
      <c r="I3" s="3"/>
      <c r="J3" s="3"/>
      <c r="K3" s="3"/>
      <c r="L3" s="3"/>
    </row>
    <row r="4" spans="1:12" x14ac:dyDescent="0.35">
      <c r="B4" t="s">
        <v>3</v>
      </c>
      <c r="C4">
        <v>0</v>
      </c>
      <c r="E4">
        <v>20</v>
      </c>
      <c r="F4" s="3">
        <f t="shared" si="0"/>
        <v>-2.3152906603111553E-14</v>
      </c>
      <c r="G4" s="3">
        <f t="shared" si="1"/>
        <v>0.4950249419266583</v>
      </c>
      <c r="H4" s="3"/>
      <c r="I4" s="3"/>
      <c r="J4" s="3"/>
      <c r="K4" s="3"/>
      <c r="L4" s="3"/>
    </row>
    <row r="5" spans="1:12" x14ac:dyDescent="0.35">
      <c r="B5" t="s">
        <v>4</v>
      </c>
      <c r="C5">
        <v>0.2</v>
      </c>
      <c r="E5">
        <v>30</v>
      </c>
      <c r="F5" s="3">
        <f t="shared" si="0"/>
        <v>-4.0090202080884991E-8</v>
      </c>
      <c r="G5" s="3">
        <f t="shared" si="1"/>
        <v>0.49502492061037623</v>
      </c>
      <c r="H5" s="3"/>
      <c r="I5" s="3"/>
      <c r="J5" s="3"/>
      <c r="K5" s="3"/>
      <c r="L5" s="3"/>
    </row>
    <row r="6" spans="1:12" x14ac:dyDescent="0.35">
      <c r="B6" t="s">
        <v>1</v>
      </c>
      <c r="C6">
        <v>100</v>
      </c>
      <c r="E6">
        <v>40</v>
      </c>
      <c r="F6" s="3">
        <f t="shared" si="0"/>
        <v>-8.8625073667234191E-5</v>
      </c>
      <c r="G6" s="3">
        <f t="shared" si="1"/>
        <v>0.49498062928421399</v>
      </c>
      <c r="H6" s="3"/>
      <c r="I6" s="3"/>
      <c r="J6" s="3"/>
      <c r="K6" s="3"/>
      <c r="L6" s="3"/>
    </row>
    <row r="7" spans="1:12" x14ac:dyDescent="0.35">
      <c r="E7">
        <v>50</v>
      </c>
      <c r="F7" s="3">
        <f t="shared" si="0"/>
        <v>-8.3928497209354025E-3</v>
      </c>
      <c r="G7" s="3">
        <f t="shared" si="1"/>
        <v>0.49082851631965235</v>
      </c>
      <c r="H7" s="3"/>
      <c r="I7" s="3"/>
      <c r="J7" s="3"/>
      <c r="K7" s="3"/>
      <c r="L7" s="3"/>
    </row>
    <row r="8" spans="1:12" x14ac:dyDescent="0.35">
      <c r="B8" t="s">
        <v>12</v>
      </c>
      <c r="C8">
        <v>1.0000000000000001E-5</v>
      </c>
      <c r="E8">
        <v>60</v>
      </c>
      <c r="F8" s="3">
        <f t="shared" si="0"/>
        <v>-0.13759905878145406</v>
      </c>
      <c r="G8" s="3">
        <f t="shared" si="1"/>
        <v>0.42622541123193963</v>
      </c>
      <c r="H8" s="3"/>
      <c r="I8" s="3"/>
      <c r="J8" s="3"/>
      <c r="K8" s="3"/>
      <c r="L8" s="3"/>
    </row>
    <row r="9" spans="1:12" x14ac:dyDescent="0.35">
      <c r="E9">
        <v>70</v>
      </c>
      <c r="F9" s="3">
        <f t="shared" si="0"/>
        <v>-0.76869880536456481</v>
      </c>
      <c r="G9" s="3">
        <f t="shared" si="1"/>
        <v>0.11067553842281085</v>
      </c>
      <c r="H9" s="3"/>
      <c r="I9" s="3"/>
      <c r="J9" s="3"/>
      <c r="K9" s="3"/>
      <c r="L9" s="3"/>
    </row>
    <row r="10" spans="1:12" x14ac:dyDescent="0.35">
      <c r="E10">
        <v>80</v>
      </c>
      <c r="F10" s="3">
        <f t="shared" si="0"/>
        <v>-2.122752053690391</v>
      </c>
      <c r="G10" s="3">
        <f t="shared" si="1"/>
        <v>-0.56635108496294606</v>
      </c>
      <c r="H10" s="3"/>
      <c r="I10" s="3"/>
      <c r="J10" s="3"/>
      <c r="K10" s="3"/>
      <c r="L10" s="3"/>
    </row>
    <row r="11" spans="1:12" x14ac:dyDescent="0.35">
      <c r="A11">
        <v>1</v>
      </c>
      <c r="B11" t="s">
        <v>19</v>
      </c>
      <c r="C11">
        <f>BlackCallPrice(100,$C$3,$C$4,$C$5,A11,$C$6)</f>
        <v>8.4333186901096013</v>
      </c>
      <c r="E11">
        <v>90</v>
      </c>
      <c r="F11" s="3">
        <f t="shared" si="0"/>
        <v>-3.6236648686571722</v>
      </c>
      <c r="G11" s="3">
        <f t="shared" si="1"/>
        <v>-1.3168074937119911</v>
      </c>
      <c r="H11" s="3"/>
      <c r="I11" s="3"/>
      <c r="J11" s="3"/>
      <c r="K11" s="3"/>
      <c r="L11" s="3"/>
    </row>
    <row r="12" spans="1:12" x14ac:dyDescent="0.35">
      <c r="A12">
        <f>364/365</f>
        <v>0.99726027397260275</v>
      </c>
      <c r="C12">
        <f>BlackCallPrice(100,$C$3,$C$4,$C$5,A12,$C$6)</f>
        <v>8.4212012536398539</v>
      </c>
      <c r="E12">
        <v>100</v>
      </c>
      <c r="F12" s="6">
        <f t="shared" si="0"/>
        <v>-4.4200879704803242</v>
      </c>
      <c r="G12" s="3">
        <f t="shared" si="1"/>
        <v>-1.7150190450010425</v>
      </c>
      <c r="H12" s="3"/>
      <c r="I12" s="3"/>
      <c r="J12" s="3"/>
      <c r="K12" s="3"/>
      <c r="L12" s="3"/>
    </row>
    <row r="13" spans="1:12" x14ac:dyDescent="0.35">
      <c r="A13">
        <f>A11-A12</f>
        <v>2.739726027397249E-3</v>
      </c>
      <c r="C13">
        <f>C12-C11</f>
        <v>-1.2117436469747389E-2</v>
      </c>
      <c r="E13">
        <v>110</v>
      </c>
      <c r="F13" s="3">
        <f t="shared" si="0"/>
        <v>-4.264805139264638</v>
      </c>
      <c r="G13" s="3">
        <f t="shared" si="1"/>
        <v>-1.637377629615244</v>
      </c>
      <c r="H13" s="3"/>
      <c r="I13" s="3"/>
      <c r="J13" s="3"/>
      <c r="K13" s="3"/>
      <c r="L13" s="3"/>
    </row>
    <row r="14" spans="1:12" x14ac:dyDescent="0.35">
      <c r="E14">
        <v>120</v>
      </c>
      <c r="F14" s="3">
        <f t="shared" si="0"/>
        <v>-3.5225190082144304</v>
      </c>
      <c r="G14" s="3">
        <f t="shared" si="1"/>
        <v>-1.266234564589741</v>
      </c>
      <c r="H14" s="3"/>
      <c r="I14" s="3"/>
      <c r="J14" s="3"/>
      <c r="K14" s="3"/>
      <c r="L14" s="3"/>
    </row>
    <row r="15" spans="1:12" x14ac:dyDescent="0.35">
      <c r="A15">
        <f>A13*F12</f>
        <v>-1.2109830056110427E-2</v>
      </c>
      <c r="E15">
        <v>130</v>
      </c>
      <c r="F15" s="3">
        <f t="shared" si="0"/>
        <v>-2.6692387898208381</v>
      </c>
      <c r="G15" s="3">
        <f t="shared" si="1"/>
        <v>-0.8395944544659083</v>
      </c>
      <c r="H15" s="3"/>
      <c r="I15" s="3"/>
      <c r="J15" s="3"/>
      <c r="K15" s="3"/>
      <c r="L15" s="3"/>
    </row>
    <row r="16" spans="1:12" x14ac:dyDescent="0.35">
      <c r="E16">
        <v>140</v>
      </c>
      <c r="F16" s="3">
        <f t="shared" si="0"/>
        <v>-1.9814660213057775</v>
      </c>
      <c r="G16" s="3">
        <f t="shared" si="1"/>
        <v>-0.49570807025556268</v>
      </c>
      <c r="H16" s="3"/>
      <c r="I16" s="3"/>
      <c r="J16" s="3"/>
      <c r="K16" s="3"/>
      <c r="L16" s="3"/>
    </row>
    <row r="17" spans="5:12" x14ac:dyDescent="0.35">
      <c r="E17">
        <v>150</v>
      </c>
      <c r="F17" s="3">
        <f t="shared" si="0"/>
        <v>-1.525474710462049</v>
      </c>
      <c r="G17" s="3">
        <f t="shared" si="1"/>
        <v>-0.26771241510570309</v>
      </c>
      <c r="H17" s="3"/>
      <c r="I17" s="3"/>
      <c r="J17" s="3"/>
      <c r="K17" s="3"/>
      <c r="L17" s="3"/>
    </row>
    <row r="18" spans="5:12" x14ac:dyDescent="0.35">
      <c r="E18">
        <v>160</v>
      </c>
      <c r="F18" s="3">
        <f t="shared" si="0"/>
        <v>-1.2598700870114499</v>
      </c>
      <c r="G18" s="3">
        <f t="shared" si="1"/>
        <v>-0.13491010182192786</v>
      </c>
      <c r="H18" s="3"/>
      <c r="I18" s="3"/>
      <c r="J18" s="3"/>
      <c r="K18" s="3"/>
      <c r="L18" s="3"/>
    </row>
    <row r="19" spans="5:12" x14ac:dyDescent="0.35">
      <c r="E19">
        <v>170</v>
      </c>
      <c r="F19" s="3">
        <f t="shared" si="0"/>
        <v>-1.1188588885602258</v>
      </c>
      <c r="G19" s="3">
        <f t="shared" si="1"/>
        <v>-6.4404503353002185E-2</v>
      </c>
      <c r="H19" s="3"/>
      <c r="I19" s="3"/>
      <c r="J19" s="3"/>
      <c r="K19" s="3"/>
      <c r="L19" s="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79"/>
  <sheetViews>
    <sheetView zoomScale="85" zoomScaleNormal="85" workbookViewId="0">
      <selection activeCell="E11" sqref="E11"/>
    </sheetView>
  </sheetViews>
  <sheetFormatPr defaultRowHeight="14.5" x14ac:dyDescent="0.35"/>
  <cols>
    <col min="6" max="7" width="9.6328125" bestFit="1" customWidth="1"/>
    <col min="8" max="8" width="16.453125" bestFit="1" customWidth="1"/>
    <col min="10" max="10" width="12.81640625" bestFit="1" customWidth="1"/>
  </cols>
  <sheetData>
    <row r="1" spans="2:10" x14ac:dyDescent="0.35">
      <c r="E1" t="s">
        <v>13</v>
      </c>
      <c r="F1">
        <v>10</v>
      </c>
    </row>
    <row r="2" spans="2:10" x14ac:dyDescent="0.35">
      <c r="F2" t="s">
        <v>25</v>
      </c>
      <c r="G2" t="s">
        <v>26</v>
      </c>
      <c r="H2" t="s">
        <v>21</v>
      </c>
    </row>
    <row r="3" spans="2:10" x14ac:dyDescent="0.35">
      <c r="B3" t="s">
        <v>2</v>
      </c>
      <c r="C3">
        <v>0</v>
      </c>
      <c r="E3">
        <v>10</v>
      </c>
      <c r="F3" s="3">
        <f t="shared" ref="F3:F19" si="0">BlackCallPrice($E3,$C$3,$C$4,$C$5,$C$7,$C$6-$F$1)</f>
        <v>1.1917183735748675E-28</v>
      </c>
      <c r="G3" s="3">
        <f>-BlackCallPrice($E3,$C$3,$C$4,$C$5,$C$7,$C$6+$F$1)</f>
        <v>-1.0956160223301831E-33</v>
      </c>
      <c r="H3" s="2">
        <f>(F3+G3)/(2*$F$1)</f>
        <v>5.9585370870732211E-30</v>
      </c>
      <c r="I3" s="1"/>
      <c r="J3" s="9"/>
    </row>
    <row r="4" spans="2:10" x14ac:dyDescent="0.35">
      <c r="B4" t="s">
        <v>3</v>
      </c>
      <c r="C4">
        <v>0</v>
      </c>
      <c r="E4">
        <v>20</v>
      </c>
      <c r="F4" s="3">
        <f t="shared" si="0"/>
        <v>2.9662747452800518E-14</v>
      </c>
      <c r="G4" s="3">
        <f t="shared" ref="G4:G19" si="1">-BlackCallPrice($E4,$C$3,$C$4,$C$5,$C$7,$C$6+$F$1)</f>
        <v>-8.241139383037615E-18</v>
      </c>
      <c r="H4" s="2">
        <f t="shared" ref="H4:H19" si="2">(F4+G4)/(2*$F$1)</f>
        <v>1.4827253156708741E-15</v>
      </c>
      <c r="I4" s="1"/>
      <c r="J4" s="9"/>
    </row>
    <row r="5" spans="2:10" x14ac:dyDescent="0.35">
      <c r="B5" t="s">
        <v>4</v>
      </c>
      <c r="C5">
        <v>0.2</v>
      </c>
      <c r="E5">
        <v>30</v>
      </c>
      <c r="F5" s="3">
        <f t="shared" si="0"/>
        <v>3.5057482894114621E-8</v>
      </c>
      <c r="G5" s="3">
        <f t="shared" si="1"/>
        <v>-6.9306239396975193E-11</v>
      </c>
      <c r="H5" s="2">
        <f t="shared" si="2"/>
        <v>1.7494088327358825E-9</v>
      </c>
      <c r="I5" s="1"/>
      <c r="J5" s="9"/>
    </row>
    <row r="6" spans="2:10" x14ac:dyDescent="0.35">
      <c r="B6" t="s">
        <v>1</v>
      </c>
      <c r="C6">
        <v>100</v>
      </c>
      <c r="E6">
        <v>40</v>
      </c>
      <c r="F6" s="3">
        <f t="shared" si="0"/>
        <v>6.6899173077545959E-5</v>
      </c>
      <c r="G6" s="3">
        <f t="shared" si="1"/>
        <v>-5.1642358146961024E-7</v>
      </c>
      <c r="H6" s="2">
        <f t="shared" si="2"/>
        <v>3.3191374748038172E-6</v>
      </c>
      <c r="I6" s="1"/>
      <c r="J6" s="9"/>
    </row>
    <row r="7" spans="2:10" x14ac:dyDescent="0.35">
      <c r="B7" t="s">
        <v>5</v>
      </c>
      <c r="C7">
        <v>1</v>
      </c>
      <c r="E7">
        <v>50</v>
      </c>
      <c r="F7" s="3">
        <f t="shared" si="0"/>
        <v>6.3237079629004621E-3</v>
      </c>
      <c r="G7" s="3">
        <f t="shared" si="1"/>
        <v>-1.3604821382934829E-4</v>
      </c>
      <c r="H7" s="2">
        <f t="shared" si="2"/>
        <v>3.0938298745355569E-4</v>
      </c>
      <c r="I7" s="1"/>
      <c r="J7" s="9"/>
    </row>
    <row r="8" spans="2:10" x14ac:dyDescent="0.35">
      <c r="B8" t="s">
        <v>12</v>
      </c>
      <c r="C8">
        <v>1E-3</v>
      </c>
      <c r="E8">
        <v>60</v>
      </c>
      <c r="F8" s="3">
        <f t="shared" si="0"/>
        <v>0.11548519397823219</v>
      </c>
      <c r="G8" s="3">
        <f t="shared" si="1"/>
        <v>-5.5451495160068788E-3</v>
      </c>
      <c r="H8" s="2">
        <f t="shared" si="2"/>
        <v>5.4970022231112655E-3</v>
      </c>
      <c r="I8" s="1"/>
      <c r="J8" s="9"/>
    </row>
    <row r="9" spans="2:10" x14ac:dyDescent="0.35">
      <c r="E9">
        <v>70</v>
      </c>
      <c r="F9" s="3">
        <f t="shared" si="0"/>
        <v>0.78937840077809573</v>
      </c>
      <c r="G9" s="3">
        <f t="shared" si="1"/>
        <v>-7.1922008010901262E-2</v>
      </c>
      <c r="H9" s="2">
        <f t="shared" si="2"/>
        <v>3.5872819638359719E-2</v>
      </c>
      <c r="I9" s="1"/>
      <c r="J9" s="9"/>
    </row>
    <row r="10" spans="2:10" x14ac:dyDescent="0.35">
      <c r="E10">
        <v>80</v>
      </c>
      <c r="F10" s="3">
        <f t="shared" si="0"/>
        <v>2.9066208540916358</v>
      </c>
      <c r="G10" s="3">
        <f t="shared" si="1"/>
        <v>-0.44243733982098715</v>
      </c>
      <c r="H10" s="2">
        <f t="shared" si="2"/>
        <v>0.12320917571353243</v>
      </c>
      <c r="I10" s="1"/>
      <c r="J10" s="9"/>
    </row>
    <row r="11" spans="2:10" x14ac:dyDescent="0.35">
      <c r="E11">
        <v>90</v>
      </c>
      <c r="F11" s="3">
        <f t="shared" si="0"/>
        <v>7.1690107098652174</v>
      </c>
      <c r="G11" s="3">
        <f t="shared" si="1"/>
        <v>-1.6421714871226225</v>
      </c>
      <c r="H11" s="2">
        <f>(F11+G11)/(2*$F$1)</f>
        <v>0.27634196113712972</v>
      </c>
      <c r="I11" s="1"/>
      <c r="J11" s="9"/>
    </row>
    <row r="12" spans="2:10" x14ac:dyDescent="0.35">
      <c r="E12">
        <v>100</v>
      </c>
      <c r="F12" s="3">
        <f t="shared" si="0"/>
        <v>13.589108116054797</v>
      </c>
      <c r="G12" s="3">
        <f t="shared" si="1"/>
        <v>-4.2920109414098864</v>
      </c>
      <c r="H12" s="2">
        <f t="shared" si="2"/>
        <v>0.46485485873224552</v>
      </c>
      <c r="I12" s="1"/>
      <c r="J12" s="9"/>
    </row>
    <row r="13" spans="2:10" x14ac:dyDescent="0.35">
      <c r="E13">
        <v>110</v>
      </c>
      <c r="F13" s="3">
        <f t="shared" si="0"/>
        <v>21.642171487122624</v>
      </c>
      <c r="G13" s="3">
        <f t="shared" si="1"/>
        <v>-8.7621242009463778</v>
      </c>
      <c r="H13" s="2">
        <f t="shared" si="2"/>
        <v>0.6440023643088123</v>
      </c>
      <c r="I13" s="1"/>
      <c r="J13" s="9"/>
    </row>
    <row r="14" spans="2:10" x14ac:dyDescent="0.35">
      <c r="E14">
        <v>120</v>
      </c>
      <c r="F14" s="3">
        <f t="shared" si="0"/>
        <v>30.697423015530656</v>
      </c>
      <c r="G14" s="3">
        <f t="shared" si="1"/>
        <v>-15.010388318310438</v>
      </c>
      <c r="H14" s="2">
        <f t="shared" si="2"/>
        <v>0.78435173486101095</v>
      </c>
      <c r="I14" s="1"/>
      <c r="J14" s="9"/>
    </row>
    <row r="15" spans="2:10" x14ac:dyDescent="0.35">
      <c r="E15">
        <v>130</v>
      </c>
      <c r="F15" s="3">
        <f t="shared" si="0"/>
        <v>40.27897746318606</v>
      </c>
      <c r="G15" s="3">
        <f t="shared" si="1"/>
        <v>-22.69243295889542</v>
      </c>
      <c r="H15" s="2">
        <f t="shared" si="2"/>
        <v>0.87932722521453199</v>
      </c>
      <c r="I15" s="1"/>
      <c r="J15" s="9"/>
    </row>
    <row r="16" spans="2:10" x14ac:dyDescent="0.35">
      <c r="E16">
        <v>140</v>
      </c>
      <c r="F16" s="3">
        <f t="shared" si="0"/>
        <v>50.106455496911821</v>
      </c>
      <c r="G16" s="3">
        <f t="shared" si="1"/>
        <v>-31.371279621257518</v>
      </c>
      <c r="H16" s="2">
        <f t="shared" si="2"/>
        <v>0.93675879378271509</v>
      </c>
      <c r="I16" s="1"/>
      <c r="J16" s="9"/>
    </row>
    <row r="17" spans="5:10" x14ac:dyDescent="0.35">
      <c r="E17">
        <v>150</v>
      </c>
      <c r="F17" s="3">
        <f t="shared" si="0"/>
        <v>60.039167717860856</v>
      </c>
      <c r="G17" s="3">
        <f t="shared" si="1"/>
        <v>-40.667499272065385</v>
      </c>
      <c r="H17" s="2">
        <f t="shared" si="2"/>
        <v>0.96858342228977357</v>
      </c>
      <c r="I17" s="1"/>
      <c r="J17" s="9"/>
    </row>
    <row r="18" spans="5:10" x14ac:dyDescent="0.35">
      <c r="E18">
        <v>160</v>
      </c>
      <c r="F18" s="3">
        <f t="shared" si="0"/>
        <v>70.014017099746212</v>
      </c>
      <c r="G18" s="3">
        <f t="shared" si="1"/>
        <v>-50.312934089791071</v>
      </c>
      <c r="H18" s="2">
        <f t="shared" si="2"/>
        <v>0.98505415049775702</v>
      </c>
      <c r="I18" s="1"/>
      <c r="J18" s="9"/>
    </row>
    <row r="19" spans="5:10" x14ac:dyDescent="0.35">
      <c r="E19">
        <v>170</v>
      </c>
      <c r="F19" s="3">
        <f t="shared" si="0"/>
        <v>80.004914244185741</v>
      </c>
      <c r="G19" s="3">
        <f t="shared" si="1"/>
        <v>-60.142256664660621</v>
      </c>
      <c r="H19" s="2">
        <f t="shared" si="2"/>
        <v>0.99313287897625602</v>
      </c>
      <c r="I19" s="1"/>
      <c r="J19" s="9"/>
    </row>
    <row r="22" spans="5:10" x14ac:dyDescent="0.35">
      <c r="F22" t="s">
        <v>23</v>
      </c>
      <c r="G22" t="s">
        <v>24</v>
      </c>
      <c r="H22" t="s">
        <v>22</v>
      </c>
    </row>
    <row r="23" spans="5:10" x14ac:dyDescent="0.35">
      <c r="E23">
        <v>10</v>
      </c>
      <c r="F23" s="3">
        <f>BlackCallDelta($E23,$C$3,$C$4,$C$5,$C$7,$C$6-$F$1,$C$8)</f>
        <v>6.7117324138401242E-28</v>
      </c>
      <c r="G23" s="3">
        <f>-BlackCallDelta($E23,$C$3,$C$4,$C$5,$C$7,$C$6+$F$1,$C$8)</f>
        <v>-6.7123182841223696E-33</v>
      </c>
      <c r="H23" s="2">
        <f>(F23+G23)/(2*$F$1)</f>
        <v>3.3558326453286417E-29</v>
      </c>
    </row>
    <row r="24" spans="5:10" x14ac:dyDescent="0.35">
      <c r="E24">
        <v>20</v>
      </c>
      <c r="F24" s="3">
        <f t="shared" ref="F24:F39" si="3">BlackCallDelta($E24,$C$3,$C$4,$C$5,$C$7,$C$6-$F$1,$C$8)</f>
        <v>5.838934266319902E-14</v>
      </c>
      <c r="G24" s="3">
        <f t="shared" ref="G24:G39" si="4">-BlackCallDelta($E24,$C$3,$C$4,$C$5,$C$7,$C$6+$F$1,$C$8)</f>
        <v>-1.8232591496988847E-17</v>
      </c>
      <c r="H24" s="2">
        <f t="shared" ref="H24:H39" si="5">(F24+G24)/(2*$F$1)</f>
        <v>2.9185555035851013E-15</v>
      </c>
    </row>
    <row r="25" spans="5:10" x14ac:dyDescent="0.35">
      <c r="E25">
        <v>30</v>
      </c>
      <c r="F25" s="3">
        <f t="shared" si="3"/>
        <v>3.4633631314899694E-8</v>
      </c>
      <c r="G25" s="3">
        <f t="shared" si="4"/>
        <v>-7.9533713399402091E-11</v>
      </c>
      <c r="H25" s="2">
        <f t="shared" si="5"/>
        <v>1.7277048800750145E-9</v>
      </c>
    </row>
    <row r="26" spans="5:10" x14ac:dyDescent="0.35">
      <c r="E26">
        <v>40</v>
      </c>
      <c r="F26" s="3">
        <f t="shared" si="3"/>
        <v>3.8323214566698765E-5</v>
      </c>
      <c r="G26" s="3">
        <f t="shared" si="4"/>
        <v>-3.5610448641257433E-7</v>
      </c>
      <c r="H26" s="2">
        <f t="shared" si="5"/>
        <v>1.8983555040143096E-6</v>
      </c>
    </row>
    <row r="27" spans="5:10" x14ac:dyDescent="0.35">
      <c r="E27">
        <v>50</v>
      </c>
      <c r="F27" s="3">
        <f t="shared" si="3"/>
        <v>2.2632307317741428E-3</v>
      </c>
      <c r="G27" s="3">
        <f t="shared" si="4"/>
        <v>-6.0946642547156306E-5</v>
      </c>
      <c r="H27" s="2">
        <f t="shared" si="5"/>
        <v>1.1011420446134932E-4</v>
      </c>
    </row>
    <row r="28" spans="5:10" x14ac:dyDescent="0.35">
      <c r="E28">
        <v>60</v>
      </c>
      <c r="F28" s="3">
        <f t="shared" si="3"/>
        <v>2.6969536407545069E-2</v>
      </c>
      <c r="G28" s="3">
        <f t="shared" si="4"/>
        <v>-1.6911102903418088E-3</v>
      </c>
      <c r="H28" s="2">
        <f t="shared" si="5"/>
        <v>1.263921305860163E-3</v>
      </c>
    </row>
    <row r="29" spans="5:10" x14ac:dyDescent="0.35">
      <c r="E29">
        <v>70</v>
      </c>
      <c r="F29" s="3">
        <f t="shared" si="3"/>
        <v>0.12372360498846824</v>
      </c>
      <c r="G29" s="3">
        <f t="shared" si="4"/>
        <v>-1.5389214145525298E-2</v>
      </c>
      <c r="H29" s="2">
        <f t="shared" si="5"/>
        <v>5.416719542147147E-3</v>
      </c>
    </row>
    <row r="30" spans="5:10" x14ac:dyDescent="0.35">
      <c r="E30">
        <v>80</v>
      </c>
      <c r="F30" s="3">
        <f t="shared" si="3"/>
        <v>0.31245087478470879</v>
      </c>
      <c r="G30" s="3">
        <f t="shared" si="4"/>
        <v>-6.7814365272811372E-2</v>
      </c>
      <c r="H30" s="2">
        <f t="shared" si="5"/>
        <v>1.2231825475594871E-2</v>
      </c>
    </row>
    <row r="31" spans="5:10" x14ac:dyDescent="0.35">
      <c r="E31">
        <v>90</v>
      </c>
      <c r="F31" s="3">
        <f t="shared" si="3"/>
        <v>0.53982783722084093</v>
      </c>
      <c r="G31" s="3">
        <f t="shared" si="4"/>
        <v>-0.18316916146687845</v>
      </c>
      <c r="H31" s="2">
        <f t="shared" si="5"/>
        <v>1.7832933787698124E-2</v>
      </c>
    </row>
    <row r="32" spans="5:10" x14ac:dyDescent="0.35">
      <c r="E32">
        <v>100</v>
      </c>
      <c r="F32" s="3">
        <f t="shared" si="3"/>
        <v>0.73460567327110482</v>
      </c>
      <c r="G32" s="3">
        <f t="shared" si="4"/>
        <v>-0.35325369155758679</v>
      </c>
      <c r="H32" s="2">
        <f t="shared" si="5"/>
        <v>1.9067599085675901E-2</v>
      </c>
    </row>
    <row r="33" spans="5:8" x14ac:dyDescent="0.35">
      <c r="E33">
        <v>110</v>
      </c>
      <c r="F33" s="3">
        <f t="shared" si="3"/>
        <v>0.86506315412471224</v>
      </c>
      <c r="G33" s="3">
        <f t="shared" si="4"/>
        <v>-0.53982783724482175</v>
      </c>
      <c r="H33" s="2">
        <f t="shared" si="5"/>
        <v>1.6261765843994525E-2</v>
      </c>
    </row>
    <row r="34" spans="5:8" x14ac:dyDescent="0.35">
      <c r="E34">
        <v>120</v>
      </c>
      <c r="F34" s="3">
        <f t="shared" si="3"/>
        <v>0.93802584484592444</v>
      </c>
      <c r="G34" s="3">
        <f t="shared" si="4"/>
        <v>-0.70369473872844424</v>
      </c>
      <c r="H34" s="2">
        <f t="shared" si="5"/>
        <v>1.171655530587401E-2</v>
      </c>
    </row>
    <row r="35" spans="5:8" x14ac:dyDescent="0.35">
      <c r="E35">
        <v>130</v>
      </c>
      <c r="F35" s="3">
        <f t="shared" si="3"/>
        <v>0.97372642443005475</v>
      </c>
      <c r="G35" s="3">
        <f t="shared" si="4"/>
        <v>-0.82517552309901987</v>
      </c>
      <c r="H35" s="2">
        <f t="shared" si="5"/>
        <v>7.427545066551744E-3</v>
      </c>
    </row>
    <row r="36" spans="5:8" x14ac:dyDescent="0.35">
      <c r="E36">
        <v>140</v>
      </c>
      <c r="F36" s="3">
        <f t="shared" si="3"/>
        <v>0.98953275215762915</v>
      </c>
      <c r="G36" s="3">
        <f t="shared" si="4"/>
        <v>-0.90419145899645059</v>
      </c>
      <c r="H36" s="2">
        <f t="shared" si="5"/>
        <v>4.2670646580589278E-3</v>
      </c>
    </row>
    <row r="37" spans="5:8" x14ac:dyDescent="0.35">
      <c r="E37">
        <v>150</v>
      </c>
      <c r="F37" s="3">
        <f t="shared" si="3"/>
        <v>0.99602431847500839</v>
      </c>
      <c r="G37" s="3">
        <f t="shared" si="4"/>
        <v>-0.95060769998767114</v>
      </c>
      <c r="H37" s="2">
        <f t="shared" si="5"/>
        <v>2.2708309243668623E-3</v>
      </c>
    </row>
    <row r="38" spans="5:8" x14ac:dyDescent="0.35">
      <c r="E38">
        <v>160</v>
      </c>
      <c r="F38" s="3">
        <f t="shared" si="3"/>
        <v>0.9985437286630372</v>
      </c>
      <c r="G38" s="3">
        <f t="shared" si="4"/>
        <v>-0.9757788236939291</v>
      </c>
      <c r="H38" s="2">
        <f t="shared" si="5"/>
        <v>1.1382452484554051E-3</v>
      </c>
    </row>
    <row r="39" spans="5:8" x14ac:dyDescent="0.35">
      <c r="E39">
        <v>170</v>
      </c>
      <c r="F39" s="3">
        <f t="shared" si="3"/>
        <v>0.99948086123902158</v>
      </c>
      <c r="G39" s="3">
        <f t="shared" si="4"/>
        <v>-0.98859465034095706</v>
      </c>
      <c r="H39" s="2">
        <f t="shared" si="5"/>
        <v>5.4431054490322595E-4</v>
      </c>
    </row>
    <row r="42" spans="5:8" x14ac:dyDescent="0.35">
      <c r="F42" t="s">
        <v>27</v>
      </c>
      <c r="G42" t="s">
        <v>28</v>
      </c>
      <c r="H42" t="s">
        <v>29</v>
      </c>
    </row>
    <row r="43" spans="5:8" x14ac:dyDescent="0.35">
      <c r="E43">
        <v>10</v>
      </c>
      <c r="F43" s="8">
        <f>BlackCallGamma($E43,$C$3,$C$4,$C$5,$C$7,$C$6-$F$1,$C$8)</f>
        <v>3.6835807113931138E-27</v>
      </c>
      <c r="G43" s="8">
        <f>-BlackCallGamma($E43,$C$3,$C$4,$C$5,$C$7,$C$6+$F$1,$C$8)</f>
        <v>-4.0181606554807293E-32</v>
      </c>
      <c r="H43" s="1">
        <f>(F43+G43)/(2*$F$1)</f>
        <v>1.8417702648932796E-28</v>
      </c>
    </row>
    <row r="44" spans="5:8" x14ac:dyDescent="0.35">
      <c r="E44">
        <v>20</v>
      </c>
      <c r="F44" s="8">
        <f t="shared" ref="F44:F59" si="6">BlackCallGamma($E44,$C$3,$C$4,$C$5,$C$7,$C$6-$F$1,$C$8)</f>
        <v>1.102194120862994E-13</v>
      </c>
      <c r="G44" s="8">
        <f t="shared" ref="G44:G59" si="7">-BlackCallGamma($E44,$C$3,$C$4,$C$5,$C$7,$C$6+$F$1,$C$8)</f>
        <v>-3.8923512105397929E-17</v>
      </c>
      <c r="H44" s="1">
        <f t="shared" ref="H44:H59" si="8">(F44+G44)/(2*$F$1)</f>
        <v>5.5090244287097002E-15</v>
      </c>
    </row>
    <row r="45" spans="5:8" x14ac:dyDescent="0.35">
      <c r="E45">
        <v>30</v>
      </c>
      <c r="F45" s="8">
        <f t="shared" si="6"/>
        <v>3.2137135316031809E-8</v>
      </c>
      <c r="G45" s="8">
        <f t="shared" si="7"/>
        <v>-8.6770046990327243E-11</v>
      </c>
      <c r="H45" s="1">
        <f t="shared" si="8"/>
        <v>1.602518263452074E-9</v>
      </c>
    </row>
    <row r="46" spans="5:8" x14ac:dyDescent="0.35">
      <c r="E46">
        <v>40</v>
      </c>
      <c r="F46" s="8">
        <f t="shared" si="6"/>
        <v>2.0035343918184357E-5</v>
      </c>
      <c r="G46" s="8">
        <f t="shared" si="7"/>
        <v>-2.2905938151959795E-7</v>
      </c>
      <c r="H46" s="1">
        <f t="shared" si="8"/>
        <v>9.9031422683323797E-7</v>
      </c>
    </row>
    <row r="47" spans="5:8" x14ac:dyDescent="0.35">
      <c r="E47">
        <v>50</v>
      </c>
      <c r="F47" s="8">
        <f t="shared" si="6"/>
        <v>7.0925544018614339E-4</v>
      </c>
      <c r="G47" s="8">
        <f t="shared" si="7"/>
        <v>-2.4838701313313095E-5</v>
      </c>
      <c r="H47" s="1">
        <f t="shared" si="8"/>
        <v>3.4220836943641515E-5</v>
      </c>
    </row>
    <row r="48" spans="5:8" x14ac:dyDescent="0.35">
      <c r="E48">
        <v>60</v>
      </c>
      <c r="F48" s="8">
        <f t="shared" si="6"/>
        <v>5.1894006487807065E-3</v>
      </c>
      <c r="G48" s="8">
        <f t="shared" si="7"/>
        <v>-4.5360448903963846E-4</v>
      </c>
      <c r="H48" s="1">
        <f t="shared" si="8"/>
        <v>2.367898079870534E-4</v>
      </c>
    </row>
    <row r="49" spans="5:8" x14ac:dyDescent="0.35">
      <c r="E49">
        <v>70</v>
      </c>
      <c r="F49" s="8">
        <f t="shared" si="6"/>
        <v>1.4598663111708987E-2</v>
      </c>
      <c r="G49" s="8">
        <f t="shared" si="7"/>
        <v>-2.7652196747662838E-3</v>
      </c>
      <c r="H49" s="1">
        <f t="shared" si="8"/>
        <v>5.9167217184713516E-4</v>
      </c>
    </row>
    <row r="50" spans="5:8" x14ac:dyDescent="0.35">
      <c r="E50">
        <v>80</v>
      </c>
      <c r="F50" s="8">
        <f t="shared" si="6"/>
        <v>2.2125015597396214E-2</v>
      </c>
      <c r="G50" s="8">
        <f t="shared" si="7"/>
        <v>-8.1890284275853986E-3</v>
      </c>
      <c r="H50" s="1">
        <f t="shared" si="8"/>
        <v>6.9679935849054075E-4</v>
      </c>
    </row>
    <row r="51" spans="5:8" x14ac:dyDescent="0.35">
      <c r="E51">
        <v>90</v>
      </c>
      <c r="F51" s="8">
        <f t="shared" si="6"/>
        <v>2.2052919268489291E-2</v>
      </c>
      <c r="G51" s="8">
        <f t="shared" si="7"/>
        <v>-1.4737884801441226E-2</v>
      </c>
      <c r="H51" s="1">
        <f t="shared" si="8"/>
        <v>3.6575172335240325E-4</v>
      </c>
    </row>
    <row r="52" spans="5:8" x14ac:dyDescent="0.35">
      <c r="E52">
        <v>100</v>
      </c>
      <c r="F52" s="8">
        <f t="shared" si="6"/>
        <v>1.6389549717388263E-2</v>
      </c>
      <c r="G52" s="8">
        <f t="shared" si="7"/>
        <v>-1.8581923555416324E-2</v>
      </c>
      <c r="H52" s="1">
        <f t="shared" si="8"/>
        <v>-1.0961869190140305E-4</v>
      </c>
    </row>
    <row r="53" spans="5:8" x14ac:dyDescent="0.35">
      <c r="E53">
        <v>110</v>
      </c>
      <c r="F53" s="8">
        <f t="shared" si="6"/>
        <v>9.8658539116058819E-3</v>
      </c>
      <c r="G53" s="8">
        <f t="shared" si="7"/>
        <v>-1.804329841093022E-2</v>
      </c>
      <c r="H53" s="1">
        <f t="shared" si="8"/>
        <v>-4.0887222496621689E-4</v>
      </c>
    </row>
    <row r="54" spans="5:8" x14ac:dyDescent="0.35">
      <c r="E54">
        <v>120</v>
      </c>
      <c r="F54" s="8">
        <f t="shared" si="6"/>
        <v>5.0906736603906211E-3</v>
      </c>
      <c r="G54" s="8">
        <f t="shared" si="7"/>
        <v>-1.4405642900783278E-2</v>
      </c>
      <c r="H54" s="1">
        <f t="shared" si="8"/>
        <v>-4.6574846201963283E-4</v>
      </c>
    </row>
    <row r="55" spans="5:8" x14ac:dyDescent="0.35">
      <c r="E55">
        <v>130</v>
      </c>
      <c r="F55" s="8">
        <f t="shared" si="6"/>
        <v>2.3433628371094528E-3</v>
      </c>
      <c r="G55" s="8">
        <f t="shared" si="7"/>
        <v>-9.908118769885732E-3</v>
      </c>
      <c r="H55" s="1">
        <f t="shared" si="8"/>
        <v>-3.7823779663881396E-4</v>
      </c>
    </row>
    <row r="56" spans="5:8" x14ac:dyDescent="0.35">
      <c r="E56">
        <v>140</v>
      </c>
      <c r="F56" s="8">
        <f t="shared" si="6"/>
        <v>9.9053920621372527E-4</v>
      </c>
      <c r="G56" s="8">
        <f t="shared" si="7"/>
        <v>-6.0741482954540515E-3</v>
      </c>
      <c r="H56" s="1">
        <f t="shared" si="8"/>
        <v>-2.5418045446201631E-4</v>
      </c>
    </row>
    <row r="57" spans="5:8" x14ac:dyDescent="0.35">
      <c r="E57">
        <v>150</v>
      </c>
      <c r="F57" s="8">
        <f t="shared" si="6"/>
        <v>3.9275249719139538E-4</v>
      </c>
      <c r="G57" s="8">
        <f t="shared" si="7"/>
        <v>-3.40447670055255E-3</v>
      </c>
      <c r="H57" s="1">
        <f t="shared" si="8"/>
        <v>-1.5058621016805773E-4</v>
      </c>
    </row>
    <row r="58" spans="5:8" x14ac:dyDescent="0.35">
      <c r="E58">
        <v>160</v>
      </c>
      <c r="F58" s="8">
        <f t="shared" si="6"/>
        <v>1.4843237750028493E-4</v>
      </c>
      <c r="G58" s="8">
        <f t="shared" si="7"/>
        <v>-1.7785399819558734E-3</v>
      </c>
      <c r="H58" s="1">
        <f t="shared" si="8"/>
        <v>-8.1505380222779422E-5</v>
      </c>
    </row>
    <row r="59" spans="5:8" x14ac:dyDescent="0.35">
      <c r="E59">
        <v>170</v>
      </c>
      <c r="F59" s="8">
        <f t="shared" si="6"/>
        <v>5.4118487469168031E-5</v>
      </c>
      <c r="G59" s="8">
        <f t="shared" si="7"/>
        <v>-8.7899110212674714E-4</v>
      </c>
      <c r="H59" s="1">
        <f t="shared" si="8"/>
        <v>-4.1243630732878955E-5</v>
      </c>
    </row>
    <row r="60" spans="5:8" x14ac:dyDescent="0.35">
      <c r="F60" s="8"/>
      <c r="G60" s="8"/>
    </row>
    <row r="62" spans="5:8" x14ac:dyDescent="0.35">
      <c r="F62" t="s">
        <v>30</v>
      </c>
      <c r="G62" t="s">
        <v>31</v>
      </c>
      <c r="H62" t="s">
        <v>32</v>
      </c>
    </row>
    <row r="63" spans="5:8" x14ac:dyDescent="0.35">
      <c r="E63">
        <v>10</v>
      </c>
      <c r="F63" s="3">
        <f>BlackCallVega($E63,$C$3,$C$4,$C$5,$C$7,$C$6-$F$1,$C$8)</f>
        <v>7.8100785590225589E-26</v>
      </c>
      <c r="G63" s="3">
        <f>-BlackCallVega($E63,$C$3,$C$4,$C$5,$C$7,$C$6+$F$1,$C$8)</f>
        <v>-8.7294452536465089E-31</v>
      </c>
      <c r="H63" s="2">
        <f>(F63+G63)/(2*$F$1)</f>
        <v>3.9049956322850115E-27</v>
      </c>
    </row>
    <row r="64" spans="5:8" x14ac:dyDescent="0.35">
      <c r="E64">
        <v>20</v>
      </c>
      <c r="F64" s="3">
        <f t="shared" ref="F64:F79" si="9">BlackCallVega($E64,$C$3,$C$4,$C$5,$C$7,$C$6-$F$1,$C$8)</f>
        <v>8.9291156606306992E-12</v>
      </c>
      <c r="G64" s="3">
        <f t="shared" ref="G64:G79" si="10">-BlackCallVega($E64,$C$3,$C$4,$C$5,$C$7,$C$6+$F$1,$C$8)</f>
        <v>-3.1798639282870604E-15</v>
      </c>
      <c r="H64" s="2">
        <f t="shared" ref="H64:H79" si="11">(F64+G64)/(2*$F$1)</f>
        <v>4.4629678983512061E-13</v>
      </c>
    </row>
    <row r="65" spans="5:8" x14ac:dyDescent="0.35">
      <c r="E65">
        <v>30</v>
      </c>
      <c r="F65" s="3">
        <f t="shared" si="9"/>
        <v>5.8044428505870549E-6</v>
      </c>
      <c r="G65" s="3">
        <f t="shared" si="10"/>
        <v>-1.5726378816130495E-8</v>
      </c>
      <c r="H65" s="2">
        <f t="shared" si="11"/>
        <v>2.8943582358854625E-7</v>
      </c>
    </row>
    <row r="66" spans="5:8" x14ac:dyDescent="0.35">
      <c r="E66">
        <v>40</v>
      </c>
      <c r="F66" s="3">
        <f t="shared" si="9"/>
        <v>6.41720399409301E-3</v>
      </c>
      <c r="G66" s="3">
        <f t="shared" si="10"/>
        <v>-7.3475356021672698E-5</v>
      </c>
      <c r="H66" s="2">
        <f t="shared" si="11"/>
        <v>3.1718643190356685E-4</v>
      </c>
    </row>
    <row r="67" spans="5:8" x14ac:dyDescent="0.35">
      <c r="E67">
        <v>50</v>
      </c>
      <c r="F67" s="3">
        <f t="shared" si="9"/>
        <v>0.35469938763505293</v>
      </c>
      <c r="G67" s="3">
        <f t="shared" si="10"/>
        <v>-1.2429421312016048E-2</v>
      </c>
      <c r="H67" s="2">
        <f t="shared" si="11"/>
        <v>1.7113498316151842E-2</v>
      </c>
    </row>
    <row r="68" spans="5:8" x14ac:dyDescent="0.35">
      <c r="E68">
        <v>60</v>
      </c>
      <c r="F68" s="3">
        <f t="shared" si="9"/>
        <v>3.7364381285584223</v>
      </c>
      <c r="G68" s="3">
        <f t="shared" si="10"/>
        <v>-0.32667226520266851</v>
      </c>
      <c r="H68" s="2">
        <f t="shared" si="11"/>
        <v>0.17048829316778769</v>
      </c>
    </row>
    <row r="69" spans="5:8" x14ac:dyDescent="0.35">
      <c r="E69">
        <v>70</v>
      </c>
      <c r="F69" s="3">
        <f t="shared" si="9"/>
        <v>14.306552197601684</v>
      </c>
      <c r="G69" s="3">
        <f t="shared" si="10"/>
        <v>-2.710035527543071</v>
      </c>
      <c r="H69" s="2">
        <f t="shared" si="11"/>
        <v>0.5798258335029306</v>
      </c>
    </row>
    <row r="70" spans="5:8" x14ac:dyDescent="0.35">
      <c r="E70">
        <v>80</v>
      </c>
      <c r="F70" s="3">
        <f t="shared" si="9"/>
        <v>28.319912280774016</v>
      </c>
      <c r="G70" s="3">
        <f t="shared" si="10"/>
        <v>-10.481901154360679</v>
      </c>
      <c r="H70" s="2">
        <f t="shared" si="11"/>
        <v>0.89190055632066678</v>
      </c>
    </row>
    <row r="71" spans="5:8" x14ac:dyDescent="0.35">
      <c r="E71">
        <v>90</v>
      </c>
      <c r="F71" s="3">
        <f t="shared" si="9"/>
        <v>35.725727799245099</v>
      </c>
      <c r="G71" s="3">
        <f t="shared" si="10"/>
        <v>-23.875167410843055</v>
      </c>
      <c r="H71" s="2">
        <f t="shared" si="11"/>
        <v>0.59252801942010225</v>
      </c>
    </row>
    <row r="72" spans="5:8" x14ac:dyDescent="0.35">
      <c r="E72">
        <v>100</v>
      </c>
      <c r="F72" s="3">
        <f t="shared" si="9"/>
        <v>32.778988124805508</v>
      </c>
      <c r="G72" s="3">
        <f t="shared" si="10"/>
        <v>-37.163744614765015</v>
      </c>
      <c r="H72" s="2">
        <f t="shared" si="11"/>
        <v>-0.21923782449797535</v>
      </c>
    </row>
    <row r="73" spans="5:8" x14ac:dyDescent="0.35">
      <c r="E73">
        <v>110</v>
      </c>
      <c r="F73" s="3">
        <f t="shared" si="9"/>
        <v>23.875167410844611</v>
      </c>
      <c r="G73" s="3">
        <f t="shared" si="10"/>
        <v>-43.664778421298678</v>
      </c>
      <c r="H73" s="2">
        <f t="shared" si="11"/>
        <v>-0.98948055052270334</v>
      </c>
    </row>
    <row r="74" spans="5:8" x14ac:dyDescent="0.35">
      <c r="E74">
        <v>120</v>
      </c>
      <c r="F74" s="3">
        <f t="shared" si="9"/>
        <v>14.661012344237889</v>
      </c>
      <c r="G74" s="3">
        <f t="shared" si="10"/>
        <v>-41.48815649234816</v>
      </c>
      <c r="H74" s="2">
        <f t="shared" si="11"/>
        <v>-1.3413572074055136</v>
      </c>
    </row>
    <row r="75" spans="5:8" x14ac:dyDescent="0.35">
      <c r="E75">
        <v>130</v>
      </c>
      <c r="F75" s="3">
        <f t="shared" si="9"/>
        <v>7.9206212293669864</v>
      </c>
      <c r="G75" s="3">
        <f t="shared" si="10"/>
        <v>-33.489224909258652</v>
      </c>
      <c r="H75" s="2">
        <f t="shared" si="11"/>
        <v>-1.2784301839945833</v>
      </c>
    </row>
    <row r="76" spans="5:8" x14ac:dyDescent="0.35">
      <c r="E76">
        <v>140</v>
      </c>
      <c r="F76" s="3">
        <f t="shared" si="9"/>
        <v>3.8830582043694051</v>
      </c>
      <c r="G76" s="3">
        <f t="shared" si="10"/>
        <v>-23.81043933110405</v>
      </c>
      <c r="H76" s="2">
        <f t="shared" si="11"/>
        <v>-0.99636905633673223</v>
      </c>
    </row>
    <row r="77" spans="5:8" x14ac:dyDescent="0.35">
      <c r="E77">
        <v>150</v>
      </c>
      <c r="F77" s="3">
        <f t="shared" si="9"/>
        <v>1.7675491215953798</v>
      </c>
      <c r="G77" s="3">
        <f t="shared" si="10"/>
        <v>-15.320044942910727</v>
      </c>
      <c r="H77" s="2">
        <f t="shared" si="11"/>
        <v>-0.67762479106576734</v>
      </c>
    </row>
    <row r="78" spans="5:8" x14ac:dyDescent="0.35">
      <c r="E78">
        <v>160</v>
      </c>
      <c r="F78" s="3">
        <f t="shared" si="9"/>
        <v>0.7600931075586459</v>
      </c>
      <c r="G78" s="3">
        <f t="shared" si="10"/>
        <v>-9.1062038003961732</v>
      </c>
      <c r="H78" s="2">
        <f t="shared" si="11"/>
        <v>-0.41730553464187636</v>
      </c>
    </row>
    <row r="79" spans="5:8" x14ac:dyDescent="0.35">
      <c r="E79">
        <v>170</v>
      </c>
      <c r="F79" s="3">
        <f t="shared" si="9"/>
        <v>0.31290453001275864</v>
      </c>
      <c r="G79" s="3">
        <f t="shared" si="10"/>
        <v>-5.0807655078344283</v>
      </c>
      <c r="H79" s="2">
        <f t="shared" si="11"/>
        <v>-0.23839304889108348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M81"/>
  <sheetViews>
    <sheetView zoomScale="85" zoomScaleNormal="85" workbookViewId="0">
      <selection activeCell="D18" sqref="D18"/>
    </sheetView>
  </sheetViews>
  <sheetFormatPr defaultRowHeight="14.5" x14ac:dyDescent="0.35"/>
  <cols>
    <col min="6" max="6" width="14" bestFit="1" customWidth="1"/>
    <col min="7" max="7" width="14.36328125" bestFit="1" customWidth="1"/>
    <col min="8" max="8" width="11.81640625" bestFit="1" customWidth="1"/>
    <col min="13" max="13" width="12.81640625" bestFit="1" customWidth="1"/>
  </cols>
  <sheetData>
    <row r="1" spans="2:13" x14ac:dyDescent="0.35">
      <c r="E1" t="s">
        <v>13</v>
      </c>
    </row>
    <row r="2" spans="2:13" x14ac:dyDescent="0.35">
      <c r="F2" t="s">
        <v>7</v>
      </c>
      <c r="G2" t="s">
        <v>8</v>
      </c>
      <c r="H2" t="s">
        <v>9</v>
      </c>
    </row>
    <row r="3" spans="2:13" x14ac:dyDescent="0.35">
      <c r="B3" t="s">
        <v>2</v>
      </c>
      <c r="C3">
        <v>0</v>
      </c>
      <c r="E3">
        <v>10</v>
      </c>
      <c r="F3" s="2">
        <f>BlackCallDelta($E3,$C$3,$C$4,$C$5,$C$7,$C$6,$C$8)</f>
        <v>1.8020124512364652E-30</v>
      </c>
      <c r="G3" s="1">
        <f>BlackCallGamma($E3,$C$3,$C$4,$C$5,$C$7,$C$6,$C$8)</f>
        <v>1.036094507236158E-29</v>
      </c>
      <c r="H3" s="9">
        <f>BlackdigiCallGamma($E3,$C$3,$C$4,$C$5,$C$7,$C$6,$C$8)</f>
        <v>5.8088563438883322E-29</v>
      </c>
      <c r="I3" s="3"/>
      <c r="K3" s="2"/>
      <c r="L3" s="1"/>
      <c r="M3" s="9"/>
    </row>
    <row r="4" spans="2:13" x14ac:dyDescent="0.35">
      <c r="B4" t="s">
        <v>3</v>
      </c>
      <c r="C4">
        <v>0</v>
      </c>
      <c r="E4">
        <v>20</v>
      </c>
      <c r="F4" s="2">
        <f t="shared" ref="F4:F19" si="0">BlackCallDelta($E4,$C$3,$C$4,$C$5,$C$7,$C$6,$C$8)</f>
        <v>9.5395238239407611E-16</v>
      </c>
      <c r="G4" s="1">
        <f t="shared" ref="G4:G19" si="1">BlackCallGamma($E4,$C$3,$C$4,$C$5,$C$7,$C$6,$C$8)</f>
        <v>1.9244374444283281E-15</v>
      </c>
      <c r="H4" s="9">
        <f t="shared" ref="H4:H19" si="2">BlackdigiCallGamma($E4,$C$3,$C$4,$C$5,$C$7,$C$6,$C$8)</f>
        <v>3.7272720538288129E-15</v>
      </c>
      <c r="I4" s="3"/>
      <c r="K4" s="2"/>
      <c r="L4" s="1"/>
      <c r="M4" s="9"/>
    </row>
    <row r="5" spans="2:13" x14ac:dyDescent="0.35">
      <c r="B5" t="s">
        <v>4</v>
      </c>
      <c r="C5">
        <v>0.2</v>
      </c>
      <c r="E5">
        <v>30</v>
      </c>
      <c r="F5" s="2">
        <f t="shared" si="0"/>
        <v>1.6110398053355935E-9</v>
      </c>
      <c r="G5" s="1">
        <f t="shared" si="1"/>
        <v>1.6325990710428007E-9</v>
      </c>
      <c r="H5" s="9">
        <f t="shared" si="2"/>
        <v>1.5563139819858906E-9</v>
      </c>
      <c r="I5" s="3"/>
      <c r="K5" s="2"/>
      <c r="L5" s="1"/>
      <c r="M5" s="9"/>
    </row>
    <row r="6" spans="2:13" x14ac:dyDescent="0.35">
      <c r="B6" t="s">
        <v>1</v>
      </c>
      <c r="C6">
        <v>100</v>
      </c>
      <c r="E6">
        <v>40</v>
      </c>
      <c r="F6" s="2">
        <f t="shared" si="0"/>
        <v>3.7068167873690207E-6</v>
      </c>
      <c r="G6" s="1">
        <f t="shared" si="1"/>
        <v>2.1714976942595468E-6</v>
      </c>
      <c r="H6" s="9">
        <f t="shared" si="2"/>
        <v>1.1620025722072855E-6</v>
      </c>
      <c r="I6" s="3"/>
      <c r="K6" s="2"/>
      <c r="L6" s="1"/>
      <c r="M6" s="9"/>
    </row>
    <row r="7" spans="2:13" x14ac:dyDescent="0.35">
      <c r="B7" t="s">
        <v>5</v>
      </c>
      <c r="C7">
        <v>1</v>
      </c>
      <c r="E7">
        <v>50</v>
      </c>
      <c r="F7" s="2">
        <f t="shared" si="0"/>
        <v>3.8169880587832477E-4</v>
      </c>
      <c r="G7" s="1">
        <f t="shared" si="1"/>
        <v>1.3836537406282379E-4</v>
      </c>
      <c r="H7" s="9">
        <f t="shared" si="2"/>
        <v>4.3805291425474957E-5</v>
      </c>
      <c r="I7" s="3"/>
      <c r="K7" s="2"/>
      <c r="L7" s="1"/>
      <c r="M7" s="9"/>
    </row>
    <row r="8" spans="2:13" x14ac:dyDescent="0.35">
      <c r="B8" t="s">
        <v>12</v>
      </c>
      <c r="C8">
        <v>1E-3</v>
      </c>
      <c r="E8">
        <v>60</v>
      </c>
      <c r="F8" s="2">
        <f t="shared" si="0"/>
        <v>7.0613327865960696E-3</v>
      </c>
      <c r="G8" s="1">
        <f t="shared" si="1"/>
        <v>1.6364639313787288E-3</v>
      </c>
      <c r="H8" s="9">
        <f t="shared" si="2"/>
        <v>3.0740514300742205E-4</v>
      </c>
      <c r="I8" s="3"/>
      <c r="K8" s="2"/>
      <c r="L8" s="1"/>
      <c r="M8" s="9"/>
    </row>
    <row r="9" spans="2:13" x14ac:dyDescent="0.35">
      <c r="E9">
        <v>70</v>
      </c>
      <c r="F9" s="2">
        <f t="shared" si="0"/>
        <v>4.6151287114118422E-2</v>
      </c>
      <c r="G9" s="1">
        <f t="shared" si="1"/>
        <v>6.9094105506484205E-3</v>
      </c>
      <c r="H9" s="9">
        <f t="shared" si="2"/>
        <v>7.3234820985312865E-4</v>
      </c>
      <c r="I9" s="3"/>
      <c r="K9" s="2"/>
      <c r="L9" s="1"/>
      <c r="M9" s="9"/>
    </row>
    <row r="10" spans="2:13" x14ac:dyDescent="0.35">
      <c r="E10">
        <v>80</v>
      </c>
      <c r="F10" s="2">
        <f t="shared" si="0"/>
        <v>0.15488190506429689</v>
      </c>
      <c r="G10" s="1">
        <f t="shared" si="1"/>
        <v>1.4885485899451822E-2</v>
      </c>
      <c r="H10" s="9">
        <f t="shared" si="2"/>
        <v>7.5908723751183516E-4</v>
      </c>
      <c r="I10" s="3"/>
      <c r="K10" s="2"/>
      <c r="L10" s="1"/>
      <c r="M10" s="9"/>
    </row>
    <row r="11" spans="2:13" x14ac:dyDescent="0.35">
      <c r="E11">
        <v>90</v>
      </c>
      <c r="F11" s="2">
        <f t="shared" si="0"/>
        <v>0.33476156424461223</v>
      </c>
      <c r="G11" s="1">
        <f t="shared" si="1"/>
        <v>2.0234014130871003E-2</v>
      </c>
      <c r="H11" s="9">
        <f t="shared" si="2"/>
        <v>2.5696111904949248E-4</v>
      </c>
      <c r="I11" s="3"/>
      <c r="K11" s="2"/>
      <c r="L11" s="1"/>
      <c r="M11" s="9"/>
    </row>
    <row r="12" spans="2:13" x14ac:dyDescent="0.35">
      <c r="E12">
        <v>100</v>
      </c>
      <c r="F12" s="2">
        <f t="shared" si="0"/>
        <v>0.5398278372306109</v>
      </c>
      <c r="G12" s="1">
        <f t="shared" si="1"/>
        <v>1.9847628429658926E-2</v>
      </c>
      <c r="H12" s="9">
        <f t="shared" si="2"/>
        <v>-2.9776181520446698E-4</v>
      </c>
      <c r="I12" s="3"/>
      <c r="K12" s="2"/>
      <c r="L12" s="1"/>
      <c r="M12" s="9"/>
    </row>
    <row r="13" spans="2:13" x14ac:dyDescent="0.35">
      <c r="E13">
        <v>110</v>
      </c>
      <c r="F13" s="2">
        <f t="shared" si="0"/>
        <v>0.71787856162597308</v>
      </c>
      <c r="G13" s="1">
        <f t="shared" si="1"/>
        <v>1.5356961924339885E-2</v>
      </c>
      <c r="H13" s="9">
        <f t="shared" si="2"/>
        <v>-5.404565683875262E-4</v>
      </c>
      <c r="I13" s="3"/>
      <c r="K13" s="2"/>
      <c r="L13" s="1"/>
      <c r="M13" s="9"/>
    </row>
    <row r="14" spans="2:13" x14ac:dyDescent="0.35">
      <c r="E14">
        <v>120</v>
      </c>
      <c r="F14" s="2">
        <f t="shared" si="0"/>
        <v>0.84413718860609777</v>
      </c>
      <c r="G14" s="1">
        <f t="shared" si="1"/>
        <v>9.9650900864389769E-3</v>
      </c>
      <c r="H14" s="9">
        <f t="shared" si="2"/>
        <v>-5.0315307476012094E-4</v>
      </c>
      <c r="I14" s="3"/>
      <c r="K14" s="2"/>
      <c r="L14" s="1"/>
      <c r="M14" s="9"/>
    </row>
    <row r="15" spans="2:13" x14ac:dyDescent="0.35">
      <c r="E15">
        <v>130</v>
      </c>
      <c r="F15" s="2">
        <f t="shared" si="0"/>
        <v>0.92099871067041761</v>
      </c>
      <c r="G15" s="1">
        <f t="shared" si="1"/>
        <v>5.6638311818346665E-3</v>
      </c>
      <c r="H15" s="9">
        <f t="shared" si="2"/>
        <v>-3.503863865716994E-4</v>
      </c>
      <c r="I15" s="3"/>
      <c r="K15" s="2"/>
      <c r="L15" s="1"/>
      <c r="M15" s="9"/>
    </row>
    <row r="16" spans="2:13" x14ac:dyDescent="0.35">
      <c r="E16">
        <v>140</v>
      </c>
      <c r="F16" s="2">
        <f t="shared" si="0"/>
        <v>0.96265482435242689</v>
      </c>
      <c r="G16" s="1">
        <f t="shared" si="1"/>
        <v>2.9101574483547665E-3</v>
      </c>
      <c r="H16" s="9">
        <f t="shared" si="2"/>
        <v>-2.0605739337042905E-4</v>
      </c>
      <c r="I16" s="3"/>
      <c r="K16" s="2"/>
      <c r="L16" s="1"/>
      <c r="M16" s="9"/>
    </row>
    <row r="17" spans="5:13" x14ac:dyDescent="0.35">
      <c r="E17">
        <v>150</v>
      </c>
      <c r="F17" s="2">
        <f t="shared" si="0"/>
        <v>0.98330347794828299</v>
      </c>
      <c r="G17" s="1">
        <f t="shared" si="1"/>
        <v>1.3838334922411377E-3</v>
      </c>
      <c r="H17" s="9">
        <f t="shared" si="2"/>
        <v>-1.0391687510491465E-4</v>
      </c>
      <c r="I17" s="3"/>
      <c r="K17" s="2"/>
      <c r="L17" s="1"/>
      <c r="M17" s="9"/>
    </row>
    <row r="18" spans="5:13" x14ac:dyDescent="0.35">
      <c r="E18">
        <v>160</v>
      </c>
      <c r="F18" s="2">
        <f t="shared" si="0"/>
        <v>0.99285754922107117</v>
      </c>
      <c r="G18" s="1">
        <f t="shared" si="1"/>
        <v>6.198881408181478E-4</v>
      </c>
      <c r="H18" s="9">
        <f t="shared" si="2"/>
        <v>-4.6185277824406512E-5</v>
      </c>
      <c r="I18" s="3"/>
      <c r="K18" s="2"/>
      <c r="L18" s="1"/>
      <c r="M18" s="9"/>
    </row>
    <row r="19" spans="5:13" x14ac:dyDescent="0.35">
      <c r="E19">
        <v>170</v>
      </c>
      <c r="F19" s="2">
        <f t="shared" si="0"/>
        <v>0.99704867890437754</v>
      </c>
      <c r="G19" s="1">
        <f t="shared" si="1"/>
        <v>2.6516033813095419E-4</v>
      </c>
      <c r="H19" s="9">
        <f t="shared" si="2"/>
        <v>-2.8421709430404007E-5</v>
      </c>
      <c r="I19" s="3"/>
      <c r="K19" s="2"/>
      <c r="L19" s="1"/>
      <c r="M19" s="9"/>
    </row>
    <row r="23" spans="5:13" x14ac:dyDescent="0.35">
      <c r="I23" s="3"/>
      <c r="J23" s="3"/>
    </row>
    <row r="24" spans="5:13" x14ac:dyDescent="0.35">
      <c r="I24" s="3"/>
      <c r="J24" s="3"/>
    </row>
    <row r="25" spans="5:13" x14ac:dyDescent="0.35">
      <c r="I25" s="3"/>
      <c r="J25" s="3"/>
    </row>
    <row r="26" spans="5:13" x14ac:dyDescent="0.35">
      <c r="I26" s="3"/>
      <c r="J26" s="3"/>
    </row>
    <row r="27" spans="5:13" x14ac:dyDescent="0.35">
      <c r="I27" s="3"/>
      <c r="J27" s="3"/>
    </row>
    <row r="28" spans="5:13" x14ac:dyDescent="0.35">
      <c r="I28" s="3"/>
      <c r="J28" s="3"/>
    </row>
    <row r="29" spans="5:13" x14ac:dyDescent="0.35">
      <c r="I29" s="3"/>
      <c r="J29" s="3"/>
    </row>
    <row r="30" spans="5:13" x14ac:dyDescent="0.35">
      <c r="I30" s="3"/>
      <c r="J30" s="3"/>
    </row>
    <row r="31" spans="5:13" x14ac:dyDescent="0.35">
      <c r="I31" s="3"/>
      <c r="J31" s="3"/>
    </row>
    <row r="32" spans="5:13" x14ac:dyDescent="0.35">
      <c r="I32" s="3"/>
      <c r="J32" s="3"/>
    </row>
    <row r="33" spans="6:10" x14ac:dyDescent="0.35">
      <c r="I33" s="3"/>
      <c r="J33" s="3"/>
    </row>
    <row r="34" spans="6:10" x14ac:dyDescent="0.35">
      <c r="I34" s="3"/>
      <c r="J34" s="3"/>
    </row>
    <row r="35" spans="6:10" x14ac:dyDescent="0.35">
      <c r="I35" s="3"/>
      <c r="J35" s="3"/>
    </row>
    <row r="36" spans="6:10" x14ac:dyDescent="0.35">
      <c r="I36" s="3"/>
      <c r="J36" s="3"/>
    </row>
    <row r="37" spans="6:10" x14ac:dyDescent="0.35">
      <c r="I37" s="3"/>
      <c r="J37" s="3"/>
    </row>
    <row r="38" spans="6:10" x14ac:dyDescent="0.35">
      <c r="I38" s="3"/>
      <c r="J38" s="3"/>
    </row>
    <row r="39" spans="6:10" x14ac:dyDescent="0.35">
      <c r="F39" s="3"/>
      <c r="G39" s="3"/>
      <c r="H39" s="3"/>
      <c r="I39" s="3"/>
      <c r="J39" s="3"/>
    </row>
    <row r="44" spans="6:10" x14ac:dyDescent="0.35">
      <c r="F44" s="3"/>
      <c r="G44" s="3"/>
      <c r="H44" s="3"/>
      <c r="I44" s="3"/>
      <c r="J44" s="3"/>
    </row>
    <row r="45" spans="6:10" x14ac:dyDescent="0.35">
      <c r="F45" s="3"/>
      <c r="G45" s="3"/>
      <c r="H45" s="3"/>
      <c r="I45" s="3"/>
      <c r="J45" s="3"/>
    </row>
    <row r="46" spans="6:10" x14ac:dyDescent="0.35">
      <c r="F46" s="3"/>
      <c r="G46" s="3"/>
      <c r="H46" s="3"/>
      <c r="I46" s="3"/>
      <c r="J46" s="3"/>
    </row>
    <row r="47" spans="6:10" x14ac:dyDescent="0.35">
      <c r="F47" s="3"/>
      <c r="G47" s="3"/>
      <c r="H47" s="3"/>
      <c r="I47" s="3"/>
      <c r="J47" s="3"/>
    </row>
    <row r="48" spans="6:10" x14ac:dyDescent="0.35">
      <c r="F48" s="3"/>
      <c r="G48" s="3"/>
      <c r="H48" s="3"/>
      <c r="I48" s="3"/>
      <c r="J48" s="3"/>
    </row>
    <row r="49" spans="6:10" x14ac:dyDescent="0.35">
      <c r="F49" s="3"/>
      <c r="G49" s="3"/>
      <c r="H49" s="3"/>
      <c r="I49" s="3"/>
      <c r="J49" s="3"/>
    </row>
    <row r="50" spans="6:10" x14ac:dyDescent="0.35">
      <c r="F50" s="3"/>
      <c r="G50" s="3"/>
      <c r="H50" s="3"/>
      <c r="I50" s="3"/>
      <c r="J50" s="3"/>
    </row>
    <row r="51" spans="6:10" x14ac:dyDescent="0.35">
      <c r="F51" s="3"/>
      <c r="G51" s="3"/>
      <c r="H51" s="3"/>
      <c r="I51" s="3"/>
      <c r="J51" s="3"/>
    </row>
    <row r="52" spans="6:10" x14ac:dyDescent="0.35">
      <c r="F52" s="3"/>
      <c r="G52" s="3"/>
      <c r="H52" s="3"/>
      <c r="I52" s="3"/>
      <c r="J52" s="3"/>
    </row>
    <row r="53" spans="6:10" x14ac:dyDescent="0.35">
      <c r="F53" s="3"/>
      <c r="G53" s="3"/>
      <c r="H53" s="3"/>
      <c r="I53" s="3"/>
      <c r="J53" s="3"/>
    </row>
    <row r="54" spans="6:10" x14ac:dyDescent="0.35">
      <c r="F54" s="3"/>
      <c r="G54" s="3"/>
      <c r="H54" s="3"/>
      <c r="I54" s="3"/>
      <c r="J54" s="3"/>
    </row>
    <row r="55" spans="6:10" x14ac:dyDescent="0.35">
      <c r="F55" s="3"/>
      <c r="G55" s="3"/>
      <c r="H55" s="3"/>
      <c r="I55" s="3"/>
      <c r="J55" s="3"/>
    </row>
    <row r="56" spans="6:10" x14ac:dyDescent="0.35">
      <c r="F56" s="3"/>
      <c r="G56" s="3"/>
      <c r="H56" s="3"/>
      <c r="I56" s="3"/>
      <c r="J56" s="3"/>
    </row>
    <row r="57" spans="6:10" x14ac:dyDescent="0.35">
      <c r="F57" s="3"/>
      <c r="G57" s="3"/>
      <c r="H57" s="3"/>
      <c r="I57" s="3"/>
      <c r="J57" s="3"/>
    </row>
    <row r="58" spans="6:10" x14ac:dyDescent="0.35">
      <c r="F58" s="3"/>
      <c r="G58" s="3"/>
      <c r="H58" s="3"/>
      <c r="I58" s="3"/>
      <c r="J58" s="3"/>
    </row>
    <row r="59" spans="6:10" x14ac:dyDescent="0.35">
      <c r="F59" s="3"/>
      <c r="G59" s="3"/>
      <c r="H59" s="3"/>
      <c r="I59" s="3"/>
      <c r="J59" s="3"/>
    </row>
    <row r="60" spans="6:10" x14ac:dyDescent="0.35">
      <c r="F60" s="3"/>
      <c r="G60" s="3"/>
      <c r="H60" s="3"/>
      <c r="I60" s="3"/>
      <c r="J60" s="3"/>
    </row>
    <row r="65" spans="6:8" x14ac:dyDescent="0.35">
      <c r="F65" s="3"/>
      <c r="G65" s="3"/>
      <c r="H65" s="3"/>
    </row>
    <row r="66" spans="6:8" x14ac:dyDescent="0.35">
      <c r="F66" s="3"/>
      <c r="G66" s="3"/>
      <c r="H66" s="3"/>
    </row>
    <row r="67" spans="6:8" x14ac:dyDescent="0.35">
      <c r="F67" s="3"/>
      <c r="G67" s="3"/>
      <c r="H67" s="3"/>
    </row>
    <row r="68" spans="6:8" x14ac:dyDescent="0.35">
      <c r="F68" s="3"/>
      <c r="G68" s="3"/>
      <c r="H68" s="3"/>
    </row>
    <row r="69" spans="6:8" x14ac:dyDescent="0.35">
      <c r="F69" s="3"/>
      <c r="G69" s="3"/>
      <c r="H69" s="3"/>
    </row>
    <row r="70" spans="6:8" x14ac:dyDescent="0.35">
      <c r="F70" s="3"/>
      <c r="G70" s="3"/>
      <c r="H70" s="3"/>
    </row>
    <row r="71" spans="6:8" x14ac:dyDescent="0.35">
      <c r="F71" s="3"/>
      <c r="G71" s="3"/>
      <c r="H71" s="3"/>
    </row>
    <row r="72" spans="6:8" x14ac:dyDescent="0.35">
      <c r="F72" s="3"/>
      <c r="G72" s="3"/>
      <c r="H72" s="3"/>
    </row>
    <row r="73" spans="6:8" x14ac:dyDescent="0.35">
      <c r="F73" s="3"/>
      <c r="G73" s="3"/>
      <c r="H73" s="3"/>
    </row>
    <row r="74" spans="6:8" x14ac:dyDescent="0.35">
      <c r="F74" s="3"/>
      <c r="G74" s="3"/>
      <c r="H74" s="3"/>
    </row>
    <row r="75" spans="6:8" x14ac:dyDescent="0.35">
      <c r="F75" s="3"/>
      <c r="G75" s="3"/>
      <c r="H75" s="3"/>
    </row>
    <row r="76" spans="6:8" x14ac:dyDescent="0.35">
      <c r="F76" s="3"/>
      <c r="G76" s="3"/>
      <c r="H76" s="3"/>
    </row>
    <row r="77" spans="6:8" x14ac:dyDescent="0.35">
      <c r="F77" s="3"/>
      <c r="G77" s="3"/>
      <c r="H77" s="3"/>
    </row>
    <row r="78" spans="6:8" x14ac:dyDescent="0.35">
      <c r="F78" s="3"/>
      <c r="G78" s="3"/>
      <c r="H78" s="3"/>
    </row>
    <row r="79" spans="6:8" x14ac:dyDescent="0.35">
      <c r="F79" s="3"/>
      <c r="G79" s="3"/>
      <c r="H79" s="3"/>
    </row>
    <row r="80" spans="6:8" x14ac:dyDescent="0.35">
      <c r="F80" s="3"/>
      <c r="G80" s="3"/>
      <c r="H80" s="3"/>
    </row>
    <row r="81" spans="6:8" x14ac:dyDescent="0.35">
      <c r="F81" s="3"/>
      <c r="G81" s="3"/>
      <c r="H81" s="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tabSelected="1" zoomScale="130" zoomScaleNormal="130" workbookViewId="0">
      <selection activeCell="I4" sqref="I4"/>
    </sheetView>
  </sheetViews>
  <sheetFormatPr defaultRowHeight="14.5" x14ac:dyDescent="0.35"/>
  <cols>
    <col min="5" max="5" width="9.36328125" bestFit="1" customWidth="1"/>
    <col min="6" max="6" width="10.81640625" bestFit="1" customWidth="1"/>
    <col min="8" max="8" width="17.08984375" customWidth="1"/>
    <col min="9" max="9" width="15.1796875" bestFit="1" customWidth="1"/>
    <col min="10" max="10" width="14.7265625" bestFit="1" customWidth="1"/>
  </cols>
  <sheetData>
    <row r="1" spans="1:11" x14ac:dyDescent="0.35">
      <c r="A1" t="s">
        <v>4</v>
      </c>
      <c r="B1">
        <v>0.1</v>
      </c>
      <c r="E1" t="s">
        <v>41</v>
      </c>
      <c r="F1">
        <v>0.1</v>
      </c>
      <c r="G1">
        <v>1.5567</v>
      </c>
    </row>
    <row r="2" spans="1:11" x14ac:dyDescent="0.35">
      <c r="A2" t="s">
        <v>2</v>
      </c>
      <c r="B2">
        <v>0</v>
      </c>
      <c r="F2">
        <v>0.3</v>
      </c>
      <c r="G2">
        <v>10.096445928691788</v>
      </c>
    </row>
    <row r="3" spans="1:11" x14ac:dyDescent="0.35">
      <c r="A3" t="s">
        <v>3</v>
      </c>
      <c r="B3">
        <v>0</v>
      </c>
      <c r="E3" t="s">
        <v>42</v>
      </c>
      <c r="F3">
        <v>0.1</v>
      </c>
      <c r="G3">
        <v>0.45249023956601897</v>
      </c>
    </row>
    <row r="4" spans="1:11" x14ac:dyDescent="0.35">
      <c r="A4" t="s">
        <v>1</v>
      </c>
      <c r="B4">
        <v>120</v>
      </c>
      <c r="F4">
        <v>0.3</v>
      </c>
      <c r="G4">
        <v>4.1967876456896605</v>
      </c>
    </row>
    <row r="6" spans="1:11" ht="29" x14ac:dyDescent="0.35">
      <c r="D6" s="11" t="s">
        <v>33</v>
      </c>
      <c r="E6" s="11" t="s">
        <v>34</v>
      </c>
      <c r="F6" s="11" t="s">
        <v>35</v>
      </c>
      <c r="G6" s="11" t="s">
        <v>36</v>
      </c>
      <c r="H6" s="10" t="s">
        <v>37</v>
      </c>
      <c r="I6" s="10" t="s">
        <v>38</v>
      </c>
      <c r="J6" s="10" t="s">
        <v>39</v>
      </c>
      <c r="K6" s="10" t="s">
        <v>40</v>
      </c>
    </row>
    <row r="7" spans="1:11" x14ac:dyDescent="0.35">
      <c r="C7" s="2"/>
      <c r="D7">
        <v>1</v>
      </c>
      <c r="E7" s="3">
        <v>100</v>
      </c>
      <c r="F7" s="8">
        <f>BlackCallPrice(E7,$B$2,$B$3,0.1,D7,$B$4)</f>
        <v>0.14733226325696208</v>
      </c>
      <c r="G7" s="8">
        <f>BlackCallDelta(E7,$B$2,$B$3,0.1,D7,$B$4,0.0001)</f>
        <v>3.8096496681738756E-2</v>
      </c>
      <c r="H7" s="1">
        <f>-G7</f>
        <v>-3.8096496681738756E-2</v>
      </c>
    </row>
    <row r="8" spans="1:11" x14ac:dyDescent="0.35">
      <c r="C8" s="2">
        <v>0.5</v>
      </c>
      <c r="D8">
        <v>0.99</v>
      </c>
      <c r="E8" s="3">
        <f>E7*EXP(-0.5*$B$1^2+$B$1*C8)</f>
        <v>104.60278599087169</v>
      </c>
      <c r="F8" s="8">
        <f>BlackCallPrice(E8,$B$2,$B$3,0.1,D8,$B$4)</f>
        <v>0.42660521019253145</v>
      </c>
      <c r="G8" s="8">
        <f>BlackCallDelta(E8,$B$2,$B$3,0.1,D8,$B$4,0.0001)</f>
        <v>9.1695858435159039E-2</v>
      </c>
      <c r="H8" s="1">
        <f>(G7-G8)</f>
        <v>-5.3599361753420283E-2</v>
      </c>
      <c r="I8" s="1">
        <f>H7*(E8-E7)</f>
        <v>-0.17535002122799714</v>
      </c>
      <c r="J8" s="1">
        <f>F8-F7</f>
        <v>0.27927294693556937</v>
      </c>
    </row>
    <row r="9" spans="1:11" x14ac:dyDescent="0.35">
      <c r="C9" s="2">
        <v>-0.5</v>
      </c>
      <c r="D9">
        <v>0.98</v>
      </c>
      <c r="E9" s="3">
        <f>E8*EXP(-0.5*$B$1^2+$B$1*C9)</f>
        <v>99.004983374916804</v>
      </c>
      <c r="F9" s="8">
        <f>BlackCallPrice(E9,$B$2,$B$3,0.1,D9,$B$4)</f>
        <v>0.10656324494098111</v>
      </c>
      <c r="G9" s="8">
        <f>BlackCallDelta(E9,$B$2,$B$3,0.1,D9,$B$4,0.0001)</f>
        <v>2.9162739180743635E-2</v>
      </c>
      <c r="H9" s="1">
        <f>(G8-G9)</f>
        <v>6.2533119254415404E-2</v>
      </c>
      <c r="I9" s="1">
        <f>SUM($H$7:H8)*(E9-E8)</f>
        <v>0.51329531622056257</v>
      </c>
      <c r="J9" s="1">
        <f>F9-F8</f>
        <v>-0.32004196525155032</v>
      </c>
    </row>
    <row r="10" spans="1:11" x14ac:dyDescent="0.35">
      <c r="C10" s="2">
        <v>0.5</v>
      </c>
      <c r="D10">
        <v>0.97</v>
      </c>
      <c r="E10" s="3">
        <f>E9*EXP(-0.5*$B$1^2+$B$1*C10)</f>
        <v>103.56197087996233</v>
      </c>
      <c r="F10" s="8">
        <f>BlackCallPrice(E10,$B$2,$B$3,0.1,D10,$B$4)</f>
        <v>0.32456079818376055</v>
      </c>
      <c r="G10" s="8">
        <f t="shared" ref="G8:G11" si="0">BlackCallDelta(E10,$B$2,$B$3,0.1,D10,$B$4,0.0001)</f>
        <v>7.4007367216466502E-2</v>
      </c>
      <c r="H10" s="1">
        <f>(G9-G10)</f>
        <v>-4.4844628035722867E-2</v>
      </c>
      <c r="I10" s="1">
        <f>SUM($H$7:H9)*(E10-E9)</f>
        <v>-0.13289423805955036</v>
      </c>
      <c r="J10" s="1">
        <f>F10-F9</f>
        <v>0.21799755324277942</v>
      </c>
    </row>
    <row r="11" spans="1:11" x14ac:dyDescent="0.35">
      <c r="C11" s="2">
        <v>-0.5</v>
      </c>
      <c r="D11">
        <v>0.96</v>
      </c>
      <c r="E11" s="3">
        <v>100</v>
      </c>
      <c r="F11" s="8">
        <f>BlackCallPrice(E11,$B$2,$B$3,0.1,D11,$B$4)</f>
        <v>0.13115935896223341</v>
      </c>
      <c r="G11" s="8">
        <f t="shared" si="0"/>
        <v>3.5006867613596171E-2</v>
      </c>
      <c r="H11" s="1">
        <f t="shared" ref="H9:H11" si="1">(G10-G11)</f>
        <v>3.9000499602870331E-2</v>
      </c>
      <c r="I11" s="1">
        <f>SUM($H$7:H10)*(E11-E10)</f>
        <v>0.26361208692773258</v>
      </c>
      <c r="J11" s="1">
        <f>F11-F10</f>
        <v>-0.19340143922152714</v>
      </c>
    </row>
    <row r="12" spans="1:11" x14ac:dyDescent="0.35">
      <c r="I12" s="1">
        <f>SUM(I8:I11)</f>
        <v>0.46866314386074764</v>
      </c>
      <c r="J12" s="1">
        <f>SUM(J8:J11)</f>
        <v>-1.6172904294728674E-2</v>
      </c>
      <c r="K12" s="12">
        <f>I12+J12</f>
        <v>0.45249023956601897</v>
      </c>
    </row>
    <row r="14" spans="1:11" x14ac:dyDescent="0.35">
      <c r="F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Price</vt:lpstr>
      <vt:lpstr>Delta</vt:lpstr>
      <vt:lpstr>Gamma</vt:lpstr>
      <vt:lpstr>Vega</vt:lpstr>
      <vt:lpstr>Rho</vt:lpstr>
      <vt:lpstr>Theta</vt:lpstr>
      <vt:lpstr>call spread</vt:lpstr>
      <vt:lpstr>digi call</vt:lpstr>
      <vt:lpstr>trade the 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2018-02-10T05:40:01Z</dcterms:modified>
</cp:coreProperties>
</file>